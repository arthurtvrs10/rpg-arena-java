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2453cfc64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 Mestre" sheetId="1" r:id="Rd45df9aa2f6a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dd/mm/yyyy"/>
    <x:numFmt numFmtId="203" formatCode="0.0"/>
  </x:numFmts>
  <x:fonts count="12">
    <x:font>
      <x:sz val="11"/>
      <x:name val="Carlito"/>
    </x:font>
    <x:font>
      <x:b/>
      <x:sz val="20"/>
      <x:color rgb="FFFFFFFF"/>
      <x:name val="Aptos Display"/>
    </x:font>
    <x:font>
      <x:b/>
      <x:sz val="10"/>
      <x:color rgb="FFFFFFFF"/>
      <x:name val="Aptos"/>
    </x:font>
    <x:font>
      <x:b/>
      <x:sz val="18"/>
      <x:color rgb="FF7C3AED"/>
      <x:name val="Aptos Display"/>
    </x:font>
    <x:font>
      <x:b/>
      <x:sz val="18"/>
      <x:color rgb="FF312E81"/>
      <x:name val="Aptos Display"/>
    </x:font>
    <x:font>
      <x:b/>
      <x:sz val="18"/>
      <x:color rgb="FF047857"/>
      <x:name val="Aptos Display"/>
    </x:font>
    <x:font>
      <x:b/>
      <x:sz val="18"/>
      <x:color rgb="FFB45309"/>
      <x:name val="Aptos Display"/>
    </x:font>
    <x:font>
      <x:b/>
      <x:sz val="18"/>
      <x:color rgb="FF475569"/>
      <x:name val="Aptos Display"/>
    </x:font>
    <x:font>
      <x:b/>
      <x:sz val="18"/>
      <x:color rgb="FFB91C1C"/>
      <x:name val="Aptos Display"/>
    </x:font>
    <x:font>
      <x:i/>
      <x:sz val="10"/>
      <x:color rgb="FF4C1D95"/>
      <x:name val="Aptos"/>
    </x:font>
    <x:font>
      <x:b/>
      <x:sz val="11"/>
      <x:color rgb="FFFFFFFF"/>
      <x:name val="Aptos"/>
    </x:font>
    <x:font>
      <x:sz val="9"/>
      <x:color rgb="FF1F2937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71126"/>
      </x:patternFill>
    </x:fill>
    <x:fill>
      <x:patternFill patternType="solid">
        <x:fgColor rgb="FF7C3AED"/>
      </x:patternFill>
    </x:fill>
    <x:fill>
      <x:patternFill patternType="solid">
        <x:fgColor rgb="FFF8F7FC"/>
      </x:patternFill>
    </x:fill>
    <x:fill>
      <x:patternFill patternType="solid">
        <x:fgColor rgb="FF312E81"/>
      </x:patternFill>
    </x:fill>
    <x:fill>
      <x:patternFill patternType="solid">
        <x:fgColor rgb="FF047857"/>
      </x:patternFill>
    </x:fill>
    <x:fill>
      <x:patternFill patternType="solid">
        <x:fgColor rgb="FFB45309"/>
      </x:patternFill>
    </x:fill>
    <x:fill>
      <x:patternFill patternType="solid">
        <x:fgColor rgb="FF475569"/>
      </x:patternFill>
    </x:fill>
    <x:fill>
      <x:patternFill patternType="solid">
        <x:fgColor rgb="FFB91C1C"/>
      </x:patternFill>
    </x:fill>
    <x:fill>
      <x:patternFill patternType="solid">
        <x:fgColor rgb="FFEDE9FE"/>
      </x:patternFill>
    </x:fill>
    <x:fill>
      <x:patternFill patternType="solid">
        <x:fgColor rgb="FF2E1065"/>
      </x:patternFill>
    </x:fill>
    <x:fill>
      <x:patternFill patternType="solid">
        <x:fgColor rgb="FF4C1D95"/>
      </x:patternFill>
    </x:fill>
    <x:fill>
      <x:patternFill patternType="solid">
        <x:fgColor rgb="FFFFFFFF"/>
      </x:patternFill>
    </x:fill>
  </x:fills>
  <x:borders count="25">
    <x:border/>
    <x:border>
      <x:left style="thin">
        <x:color rgb="FFD8B4FE"/>
      </x:left>
      <x:top style="thin">
        <x:color rgb="FFD8B4FE"/>
      </x:top>
      <x:bottom style="thin">
        <x:color rgb="FFD8B4FE"/>
      </x:bottom>
    </x:border>
    <x:border>
      <x:top style="thin">
        <x:color rgb="FFD8B4FE"/>
      </x:top>
      <x:bottom style="thin">
        <x:color rgb="FFD8B4FE"/>
      </x:bottom>
    </x:border>
    <x:border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DD6FE"/>
      </x:left>
      <x:top style="thin">
        <x:color rgb="FFDDD6FE"/>
      </x:top>
    </x:border>
    <x:border>
      <x:top style="thin">
        <x:color rgb="FFDDD6FE"/>
      </x:top>
    </x:border>
    <x:border>
      <x:right style="thin">
        <x:color rgb="FFDDD6FE"/>
      </x:right>
      <x:top style="thin">
        <x:color rgb="FFDDD6FE"/>
      </x:top>
    </x:border>
    <x:border>
      <x:left style="thin">
        <x:color rgb="FFDDD6FE"/>
      </x:left>
      <x:bottom style="thin">
        <x:color rgb="FFDDD6FE"/>
      </x:bottom>
    </x:border>
    <x:border>
      <x:bottom style="thin">
        <x:color rgb="FFDDD6FE"/>
      </x:bottom>
    </x:border>
    <x:border>
      <x:right style="thin">
        <x:color rgb="FFDDD6FE"/>
      </x:right>
      <x:bottom style="thin">
        <x:color rgb="FFDDD6FE"/>
      </x:bottom>
    </x:border>
    <x:border>
      <x:left style="thin">
        <x:color rgb="FFC4B5FD"/>
      </x:left>
      <x:top style="thin">
        <x:color rgb="FFC4B5FD"/>
      </x:top>
      <x:bottom style="thin">
        <x:color rgb="FFC4B5FD"/>
      </x:bottom>
    </x:border>
    <x:border>
      <x:top style="thin">
        <x:color rgb="FFC4B5FD"/>
      </x:top>
      <x:bottom style="thin">
        <x:color rgb="FFC4B5FD"/>
      </x:bottom>
    </x:border>
    <x:border>
      <x:right style="thin">
        <x:color rgb="FFC4B5FD"/>
      </x:right>
      <x:top style="thin">
        <x:color rgb="FFC4B5FD"/>
      </x:top>
      <x:bottom style="thin">
        <x:color rgb="FFC4B5FD"/>
      </x:bottom>
    </x:border>
    <x:border>
      <x:right style="thin">
        <x:color rgb="FF7C3AED"/>
      </x:right>
    </x:border>
    <x:border>
      <x:left style="thin">
        <x:color rgb="FF7C3AED"/>
      </x:left>
      <x:right style="thin">
        <x:color rgb="FF7C3AED"/>
      </x:right>
    </x:border>
    <x:border>
      <x:left style="thin">
        <x:color rgb="FF7C3AED"/>
      </x:left>
    </x:border>
    <x:border>
      <x:right style="thin">
        <x:color rgb="FFF1F5F9"/>
      </x:right>
      <x:bottom style="thin">
        <x:color rgb="FFE5E7EB"/>
      </x:bottom>
    </x:border>
    <x:border>
      <x:left style="thin">
        <x:color rgb="FFF1F5F9"/>
      </x:left>
      <x:right style="thin">
        <x:color rgb="FFF1F5F9"/>
      </x:right>
      <x:bottom style="thin">
        <x:color rgb="FFE5E7EB"/>
      </x:bottom>
    </x:border>
    <x:border>
      <x:left style="thin">
        <x:color rgb="FFF1F5F9"/>
      </x:left>
      <x:bottom style="thin">
        <x:color rgb="FFE5E7EB"/>
      </x:bottom>
    </x:border>
    <x:border>
      <x:right style="thin">
        <x:color rgb="FFF1F5F9"/>
      </x:right>
      <x:top style="thin">
        <x:color rgb="FFE5E7EB"/>
      </x:top>
      <x:bottom style="thin">
        <x:color rgb="FFE5E7EB"/>
      </x:bottom>
    </x:border>
    <x:border>
      <x:left style="thin">
        <x:color rgb="FFF1F5F9"/>
      </x:left>
      <x:right style="thin">
        <x:color rgb="FFF1F5F9"/>
      </x:right>
      <x:top style="thin">
        <x:color rgb="FFE5E7EB"/>
      </x:top>
      <x:bottom style="thin">
        <x:color rgb="FFE5E7EB"/>
      </x:bottom>
    </x:border>
    <x:border>
      <x:left style="thin">
        <x:color rgb="FFF1F5F9"/>
      </x:left>
      <x:top style="thin">
        <x:color rgb="FFE5E7EB"/>
      </x:top>
      <x:bottom style="thin">
        <x:color rgb="FFE5E7EB"/>
      </x:bottom>
    </x:border>
    <x:border>
      <x:right style="thin">
        <x:color rgb="FFF1F5F9"/>
      </x:right>
      <x:top style="thin">
        <x:color rgb="FFE5E7EB"/>
      </x:top>
    </x:border>
    <x:border>
      <x:left style="thin">
        <x:color rgb="FFF1F5F9"/>
      </x:left>
      <x:right style="thin">
        <x:color rgb="FFF1F5F9"/>
      </x:right>
      <x:top style="thin">
        <x:color rgb="FFE5E7EB"/>
      </x:top>
    </x:border>
    <x:border>
      <x:left style="thin">
        <x:color rgb="FFF1F5F9"/>
      </x:left>
      <x:top style="thin">
        <x:color rgb="FFE5E7EB"/>
      </x:top>
    </x:border>
  </x:borders>
  <x:cellStyleXfs count="1">
    <x:xf numFmtId="0" fontId="0" fillId="0" borderId="0"/>
  </x:cellStyleXfs>
  <x:cellXfs count="2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200" fontId="3" fillId="4" borderId="4" xfId="0" applyNumberFormat="1" applyFont="1" applyFill="1" applyBorder="1"/>
    <x:xf numFmtId="200" fontId="3" fillId="4" borderId="5" xfId="0" applyNumberFormat="1" applyFont="1" applyFill="1" applyBorder="1"/>
    <x:xf numFmtId="200" fontId="3" fillId="4" borderId="6" xfId="0" applyNumberFormat="1" applyFont="1" applyFill="1" applyBorder="1"/>
    <x:xf numFmtId="200" fontId="3" fillId="4" borderId="7" xfId="0" applyNumberFormat="1" applyFont="1" applyFill="1" applyBorder="1"/>
    <x:xf numFmtId="200" fontId="3" fillId="4" borderId="8" xfId="0" applyNumberFormat="1" applyFont="1" applyFill="1" applyBorder="1"/>
    <x:xf numFmtId="200" fontId="3" fillId="4" borderId="9" xfId="0" applyNumberFormat="1" applyFont="1" applyFill="1" applyBorder="1"/>
    <x:xf numFmtId="200" fontId="3" fillId="4" borderId="4" xfId="0" applyNumberFormat="1" applyFont="1" applyFill="1" applyBorder="1" applyAlignment="1">
      <x:alignment horizontal="center"/>
    </x:xf>
    <x:xf numFmtId="200" fontId="3" fillId="4" borderId="5" xfId="0" applyNumberFormat="1" applyFont="1" applyFill="1" applyBorder="1" applyAlignment="1">
      <x:alignment horizontal="center"/>
    </x:xf>
    <x:xf numFmtId="200" fontId="3" fillId="4" borderId="6" xfId="0" applyNumberFormat="1" applyFont="1" applyFill="1" applyBorder="1" applyAlignment="1">
      <x:alignment horizontal="center"/>
    </x:xf>
    <x:xf numFmtId="200" fontId="3" fillId="4" borderId="7" xfId="0" applyNumberFormat="1" applyFont="1" applyFill="1" applyBorder="1" applyAlignment="1">
      <x:alignment horizontal="center"/>
    </x:xf>
    <x:xf numFmtId="200" fontId="3" fillId="4" borderId="8" xfId="0" applyNumberFormat="1" applyFont="1" applyFill="1" applyBorder="1" applyAlignment="1">
      <x:alignment horizontal="center"/>
    </x:xf>
    <x:xf numFmtId="200" fontId="3" fillId="4" borderId="9" xfId="0" applyNumberFormat="1" applyFont="1" applyFill="1" applyBorder="1" applyAlignment="1">
      <x:alignment horizontal="center"/>
    </x:xf>
    <x:xf numFmtId="200" fontId="3" fillId="4" borderId="4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0" fontId="3" fillId="4" borderId="6" xfId="0" applyNumberFormat="1" applyFont="1" applyFill="1" applyBorder="1" applyAlignment="1">
      <x:alignment horizontal="center" vertical="center"/>
    </x:xf>
    <x:xf numFmtId="200" fontId="3" fillId="4" borderId="7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200" fontId="3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201" fontId="4" fillId="4" borderId="4" xfId="0" applyNumberFormat="1" applyFont="1" applyFill="1" applyBorder="1"/>
    <x:xf numFmtId="201" fontId="4" fillId="4" borderId="5" xfId="0" applyNumberFormat="1" applyFont="1" applyFill="1" applyBorder="1"/>
    <x:xf numFmtId="201" fontId="4" fillId="4" borderId="6" xfId="0" applyNumberFormat="1" applyFont="1" applyFill="1" applyBorder="1"/>
    <x:xf numFmtId="201" fontId="4" fillId="4" borderId="7" xfId="0" applyNumberFormat="1" applyFont="1" applyFill="1" applyBorder="1"/>
    <x:xf numFmtId="201" fontId="4" fillId="4" borderId="8" xfId="0" applyNumberFormat="1" applyFont="1" applyFill="1" applyBorder="1"/>
    <x:xf numFmtId="201" fontId="4" fillId="4" borderId="9" xfId="0" applyNumberFormat="1" applyFont="1" applyFill="1" applyBorder="1"/>
    <x:xf numFmtId="201" fontId="4" fillId="4" borderId="4" xfId="0" applyNumberFormat="1" applyFont="1" applyFill="1" applyBorder="1" applyAlignment="1">
      <x:alignment horizontal="center"/>
    </x:xf>
    <x:xf numFmtId="201" fontId="4" fillId="4" borderId="5" xfId="0" applyNumberFormat="1" applyFont="1" applyFill="1" applyBorder="1" applyAlignment="1">
      <x:alignment horizontal="center"/>
    </x:xf>
    <x:xf numFmtId="201" fontId="4" fillId="4" borderId="6" xfId="0" applyNumberFormat="1" applyFont="1" applyFill="1" applyBorder="1" applyAlignment="1">
      <x:alignment horizontal="center"/>
    </x:xf>
    <x:xf numFmtId="201" fontId="4" fillId="4" borderId="7" xfId="0" applyNumberFormat="1" applyFont="1" applyFill="1" applyBorder="1" applyAlignment="1">
      <x:alignment horizontal="center"/>
    </x:xf>
    <x:xf numFmtId="201" fontId="4" fillId="4" borderId="8" xfId="0" applyNumberFormat="1" applyFont="1" applyFill="1" applyBorder="1" applyAlignment="1">
      <x:alignment horizontal="center"/>
    </x:xf>
    <x:xf numFmtId="201" fontId="4" fillId="4" borderId="9" xfId="0" applyNumberFormat="1" applyFont="1" applyFill="1" applyBorder="1" applyAlignment="1">
      <x:alignment horizontal="center"/>
    </x:xf>
    <x:xf numFmtId="201" fontId="4" fillId="4" borderId="4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center" vertical="center"/>
    </x:xf>
    <x:xf numFmtId="201" fontId="4" fillId="4" borderId="7" xfId="0" applyNumberFormat="1" applyFont="1" applyFill="1" applyBorder="1" applyAlignment="1">
      <x:alignment horizontal="center" vertical="center"/>
    </x:xf>
    <x:xf numFmtId="201" fontId="4" fillId="4" borderId="8" xfId="0" applyNumberFormat="1" applyFont="1" applyFill="1" applyBorder="1" applyAlignment="1">
      <x:alignment horizontal="center" vertical="center"/>
    </x:xf>
    <x:xf numFmtId="201" fontId="4" fillId="4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201" fontId="5" fillId="4" borderId="4" xfId="0" applyNumberFormat="1" applyFont="1" applyFill="1" applyBorder="1"/>
    <x:xf numFmtId="201" fontId="5" fillId="4" borderId="5" xfId="0" applyNumberFormat="1" applyFont="1" applyFill="1" applyBorder="1"/>
    <x:xf numFmtId="201" fontId="5" fillId="4" borderId="6" xfId="0" applyNumberFormat="1" applyFont="1" applyFill="1" applyBorder="1"/>
    <x:xf numFmtId="201" fontId="5" fillId="4" borderId="7" xfId="0" applyNumberFormat="1" applyFont="1" applyFill="1" applyBorder="1"/>
    <x:xf numFmtId="201" fontId="5" fillId="4" borderId="8" xfId="0" applyNumberFormat="1" applyFont="1" applyFill="1" applyBorder="1"/>
    <x:xf numFmtId="201" fontId="5" fillId="4" borderId="9" xfId="0" applyNumberFormat="1" applyFont="1" applyFill="1" applyBorder="1"/>
    <x:xf numFmtId="201" fontId="5" fillId="4" borderId="4" xfId="0" applyNumberFormat="1" applyFont="1" applyFill="1" applyBorder="1" applyAlignment="1">
      <x:alignment horizontal="center"/>
    </x:xf>
    <x:xf numFmtId="201" fontId="5" fillId="4" borderId="5" xfId="0" applyNumberFormat="1" applyFont="1" applyFill="1" applyBorder="1" applyAlignment="1">
      <x:alignment horizontal="center"/>
    </x:xf>
    <x:xf numFmtId="201" fontId="5" fillId="4" borderId="6" xfId="0" applyNumberFormat="1" applyFont="1" applyFill="1" applyBorder="1" applyAlignment="1">
      <x:alignment horizontal="center"/>
    </x:xf>
    <x:xf numFmtId="201" fontId="5" fillId="4" borderId="7" xfId="0" applyNumberFormat="1" applyFont="1" applyFill="1" applyBorder="1" applyAlignment="1">
      <x:alignment horizontal="center"/>
    </x:xf>
    <x:xf numFmtId="201" fontId="5" fillId="4" borderId="8" xfId="0" applyNumberFormat="1" applyFont="1" applyFill="1" applyBorder="1" applyAlignment="1">
      <x:alignment horizontal="center"/>
    </x:xf>
    <x:xf numFmtId="201" fontId="5" fillId="4" borderId="9" xfId="0" applyNumberFormat="1" applyFont="1" applyFill="1" applyBorder="1" applyAlignment="1">
      <x:alignment horizontal="center"/>
    </x:xf>
    <x:xf numFmtId="201" fontId="5" fillId="4" borderId="4" xfId="0" applyNumberFormat="1" applyFont="1" applyFill="1" applyBorder="1" applyAlignment="1">
      <x:alignment horizontal="center" vertical="center"/>
    </x:xf>
    <x:xf numFmtId="201" fontId="5" fillId="4" borderId="5" xfId="0" applyNumberFormat="1" applyFont="1" applyFill="1" applyBorder="1" applyAlignment="1">
      <x:alignment horizontal="center" vertical="center"/>
    </x:xf>
    <x:xf numFmtId="201" fontId="5" fillId="4" borderId="6" xfId="0" applyNumberFormat="1" applyFont="1" applyFill="1" applyBorder="1" applyAlignment="1">
      <x:alignment horizontal="center" vertical="center"/>
    </x:xf>
    <x:xf numFmtId="201" fontId="5" fillId="4" borderId="7" xfId="0" applyNumberFormat="1" applyFont="1" applyFill="1" applyBorder="1" applyAlignment="1">
      <x:alignment horizontal="center" vertical="center"/>
    </x:xf>
    <x:xf numFmtId="201" fontId="5" fillId="4" borderId="8" xfId="0" applyNumberFormat="1" applyFont="1" applyFill="1" applyBorder="1" applyAlignment="1">
      <x:alignment horizontal="center" vertical="center"/>
    </x:xf>
    <x:xf numFmtId="201" fontId="5" fillId="4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2" xfId="0" applyNumberFormat="1" applyFont="1" applyFill="1" applyBorder="1" applyAlignment="1">
      <x:alignment horizontal="center"/>
    </x:xf>
    <x:xf numFmtId="0" fontId="2" fillId="7" borderId="3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2" fillId="7" borderId="2" xfId="0" applyNumberFormat="1" applyFont="1" applyFill="1" applyBorder="1" applyAlignment="1">
      <x:alignment horizontal="center" vertical="center"/>
    </x:xf>
    <x:xf numFmtId="0" fontId="2" fillId="7" borderId="3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201" fontId="6" fillId="4" borderId="4" xfId="0" applyNumberFormat="1" applyFont="1" applyFill="1" applyBorder="1"/>
    <x:xf numFmtId="201" fontId="6" fillId="4" borderId="5" xfId="0" applyNumberFormat="1" applyFont="1" applyFill="1" applyBorder="1"/>
    <x:xf numFmtId="201" fontId="6" fillId="4" borderId="6" xfId="0" applyNumberFormat="1" applyFont="1" applyFill="1" applyBorder="1"/>
    <x:xf numFmtId="201" fontId="6" fillId="4" borderId="7" xfId="0" applyNumberFormat="1" applyFont="1" applyFill="1" applyBorder="1"/>
    <x:xf numFmtId="201" fontId="6" fillId="4" borderId="8" xfId="0" applyNumberFormat="1" applyFont="1" applyFill="1" applyBorder="1"/>
    <x:xf numFmtId="201" fontId="6" fillId="4" borderId="9" xfId="0" applyNumberFormat="1" applyFont="1" applyFill="1" applyBorder="1"/>
    <x:xf numFmtId="201" fontId="6" fillId="4" borderId="4" xfId="0" applyNumberFormat="1" applyFont="1" applyFill="1" applyBorder="1" applyAlignment="1">
      <x:alignment horizontal="center"/>
    </x:xf>
    <x:xf numFmtId="201" fontId="6" fillId="4" borderId="5" xfId="0" applyNumberFormat="1" applyFont="1" applyFill="1" applyBorder="1" applyAlignment="1">
      <x:alignment horizontal="center"/>
    </x:xf>
    <x:xf numFmtId="201" fontId="6" fillId="4" borderId="6" xfId="0" applyNumberFormat="1" applyFont="1" applyFill="1" applyBorder="1" applyAlignment="1">
      <x:alignment horizontal="center"/>
    </x:xf>
    <x:xf numFmtId="201" fontId="6" fillId="4" borderId="7" xfId="0" applyNumberFormat="1" applyFont="1" applyFill="1" applyBorder="1" applyAlignment="1">
      <x:alignment horizontal="center"/>
    </x:xf>
    <x:xf numFmtId="201" fontId="6" fillId="4" borderId="8" xfId="0" applyNumberFormat="1" applyFont="1" applyFill="1" applyBorder="1" applyAlignment="1">
      <x:alignment horizontal="center"/>
    </x:xf>
    <x:xf numFmtId="201" fontId="6" fillId="4" borderId="9" xfId="0" applyNumberFormat="1" applyFont="1" applyFill="1" applyBorder="1" applyAlignment="1">
      <x:alignment horizontal="center"/>
    </x:xf>
    <x:xf numFmtId="201" fontId="6" fillId="4" borderId="4" xfId="0" applyNumberFormat="1" applyFont="1" applyFill="1" applyBorder="1" applyAlignment="1">
      <x:alignment horizontal="center" vertical="center"/>
    </x:xf>
    <x:xf numFmtId="201" fontId="6" fillId="4" borderId="5" xfId="0" applyNumberFormat="1" applyFont="1" applyFill="1" applyBorder="1" applyAlignment="1">
      <x:alignment horizontal="center" vertical="center"/>
    </x:xf>
    <x:xf numFmtId="201" fontId="6" fillId="4" borderId="6" xfId="0" applyNumberFormat="1" applyFont="1" applyFill="1" applyBorder="1" applyAlignment="1">
      <x:alignment horizontal="center" vertical="center"/>
    </x:xf>
    <x:xf numFmtId="201" fontId="6" fillId="4" borderId="7" xfId="0" applyNumberFormat="1" applyFont="1" applyFill="1" applyBorder="1" applyAlignment="1">
      <x:alignment horizontal="center" vertical="center"/>
    </x:xf>
    <x:xf numFmtId="201" fontId="6" fillId="4" borderId="8" xfId="0" applyNumberFormat="1" applyFont="1" applyFill="1" applyBorder="1" applyAlignment="1">
      <x:alignment horizontal="center" vertical="center"/>
    </x:xf>
    <x:xf numFmtId="201" fontId="6" fillId="4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2" fillId="8" borderId="3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 vertical="center"/>
    </x:xf>
    <x:xf numFmtId="0" fontId="2" fillId="8" borderId="2" xfId="0" applyNumberFormat="1" applyFont="1" applyFill="1" applyBorder="1" applyAlignment="1">
      <x:alignment horizontal="center" vertical="center"/>
    </x:xf>
    <x:xf numFmtId="0" fontId="2" fillId="8" borderId="3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201" fontId="7" fillId="4" borderId="4" xfId="0" applyNumberFormat="1" applyFont="1" applyFill="1" applyBorder="1"/>
    <x:xf numFmtId="201" fontId="7" fillId="4" borderId="5" xfId="0" applyNumberFormat="1" applyFont="1" applyFill="1" applyBorder="1"/>
    <x:xf numFmtId="201" fontId="7" fillId="4" borderId="6" xfId="0" applyNumberFormat="1" applyFont="1" applyFill="1" applyBorder="1"/>
    <x:xf numFmtId="201" fontId="7" fillId="4" borderId="7" xfId="0" applyNumberFormat="1" applyFont="1" applyFill="1" applyBorder="1"/>
    <x:xf numFmtId="201" fontId="7" fillId="4" borderId="8" xfId="0" applyNumberFormat="1" applyFont="1" applyFill="1" applyBorder="1"/>
    <x:xf numFmtId="201" fontId="7" fillId="4" borderId="9" xfId="0" applyNumberFormat="1" applyFont="1" applyFill="1" applyBorder="1"/>
    <x:xf numFmtId="201" fontId="7" fillId="4" borderId="4" xfId="0" applyNumberFormat="1" applyFont="1" applyFill="1" applyBorder="1" applyAlignment="1">
      <x:alignment horizontal="center"/>
    </x:xf>
    <x:xf numFmtId="201" fontId="7" fillId="4" borderId="5" xfId="0" applyNumberFormat="1" applyFont="1" applyFill="1" applyBorder="1" applyAlignment="1">
      <x:alignment horizontal="center"/>
    </x:xf>
    <x:xf numFmtId="201" fontId="7" fillId="4" borderId="6" xfId="0" applyNumberFormat="1" applyFont="1" applyFill="1" applyBorder="1" applyAlignment="1">
      <x:alignment horizontal="center"/>
    </x:xf>
    <x:xf numFmtId="201" fontId="7" fillId="4" borderId="7" xfId="0" applyNumberFormat="1" applyFont="1" applyFill="1" applyBorder="1" applyAlignment="1">
      <x:alignment horizontal="center"/>
    </x:xf>
    <x:xf numFmtId="201" fontId="7" fillId="4" borderId="8" xfId="0" applyNumberFormat="1" applyFont="1" applyFill="1" applyBorder="1" applyAlignment="1">
      <x:alignment horizontal="center"/>
    </x:xf>
    <x:xf numFmtId="201" fontId="7" fillId="4" borderId="9" xfId="0" applyNumberFormat="1" applyFont="1" applyFill="1" applyBorder="1" applyAlignment="1">
      <x:alignment horizontal="center"/>
    </x:xf>
    <x:xf numFmtId="201" fontId="7" fillId="4" borderId="4" xfId="0" applyNumberFormat="1" applyFont="1" applyFill="1" applyBorder="1" applyAlignment="1">
      <x:alignment horizontal="center" vertical="center"/>
    </x:xf>
    <x:xf numFmtId="201" fontId="7" fillId="4" borderId="5" xfId="0" applyNumberFormat="1" applyFont="1" applyFill="1" applyBorder="1" applyAlignment="1">
      <x:alignment horizontal="center" vertical="center"/>
    </x:xf>
    <x:xf numFmtId="201" fontId="7" fillId="4" borderId="6" xfId="0" applyNumberFormat="1" applyFont="1" applyFill="1" applyBorder="1" applyAlignment="1">
      <x:alignment horizontal="center" vertical="center"/>
    </x:xf>
    <x:xf numFmtId="201" fontId="7" fillId="4" borderId="7" xfId="0" applyNumberFormat="1" applyFont="1" applyFill="1" applyBorder="1" applyAlignment="1">
      <x:alignment horizontal="center" vertical="center"/>
    </x:xf>
    <x:xf numFmtId="201" fontId="7" fillId="4" borderId="8" xfId="0" applyNumberFormat="1" applyFont="1" applyFill="1" applyBorder="1" applyAlignment="1">
      <x:alignment horizontal="center" vertical="center"/>
    </x:xf>
    <x:xf numFmtId="201" fontId="7" fillId="4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" xfId="0" applyNumberFormat="1" applyFont="1" applyFill="1" applyBorder="1"/>
    <x:xf numFmtId="0" fontId="2" fillId="9" borderId="2" xfId="0" applyNumberFormat="1" applyFont="1" applyFill="1" applyBorder="1"/>
    <x:xf numFmtId="0" fontId="2" fillId="9" borderId="3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2" fillId="9" borderId="2" xfId="0" applyNumberFormat="1" applyFont="1" applyFill="1" applyBorder="1" applyAlignment="1">
      <x:alignment horizontal="center"/>
    </x:xf>
    <x:xf numFmtId="0" fontId="2" fillId="9" borderId="3" xfId="0" applyNumberFormat="1" applyFont="1" applyFill="1" applyBorder="1" applyAlignment="1">
      <x:alignment horizontal="center"/>
    </x:xf>
    <x:xf numFmtId="0" fontId="2" fillId="9" borderId="1" xfId="0" applyNumberFormat="1" applyFont="1" applyFill="1" applyBorder="1" applyAlignment="1">
      <x:alignment horizontal="center" vertical="center"/>
    </x:xf>
    <x:xf numFmtId="0" fontId="2" fillId="9" borderId="2" xfId="0" applyNumberFormat="1" applyFont="1" applyFill="1" applyBorder="1" applyAlignment="1">
      <x:alignment horizontal="center" vertical="center"/>
    </x:xf>
    <x:xf numFmtId="0" fontId="2" fillId="9" borderId="3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201" fontId="8" fillId="4" borderId="4" xfId="0" applyNumberFormat="1" applyFont="1" applyFill="1" applyBorder="1"/>
    <x:xf numFmtId="201" fontId="8" fillId="4" borderId="5" xfId="0" applyNumberFormat="1" applyFont="1" applyFill="1" applyBorder="1"/>
    <x:xf numFmtId="201" fontId="8" fillId="4" borderId="6" xfId="0" applyNumberFormat="1" applyFont="1" applyFill="1" applyBorder="1"/>
    <x:xf numFmtId="201" fontId="8" fillId="4" borderId="7" xfId="0" applyNumberFormat="1" applyFont="1" applyFill="1" applyBorder="1"/>
    <x:xf numFmtId="201" fontId="8" fillId="4" borderId="8" xfId="0" applyNumberFormat="1" applyFont="1" applyFill="1" applyBorder="1"/>
    <x:xf numFmtId="201" fontId="8" fillId="4" borderId="9" xfId="0" applyNumberFormat="1" applyFont="1" applyFill="1" applyBorder="1"/>
    <x:xf numFmtId="201" fontId="8" fillId="4" borderId="4" xfId="0" applyNumberFormat="1" applyFont="1" applyFill="1" applyBorder="1" applyAlignment="1">
      <x:alignment horizontal="center"/>
    </x:xf>
    <x:xf numFmtId="201" fontId="8" fillId="4" borderId="5" xfId="0" applyNumberFormat="1" applyFont="1" applyFill="1" applyBorder="1" applyAlignment="1">
      <x:alignment horizontal="center"/>
    </x:xf>
    <x:xf numFmtId="201" fontId="8" fillId="4" borderId="6" xfId="0" applyNumberFormat="1" applyFont="1" applyFill="1" applyBorder="1" applyAlignment="1">
      <x:alignment horizontal="center"/>
    </x:xf>
    <x:xf numFmtId="201" fontId="8" fillId="4" borderId="7" xfId="0" applyNumberFormat="1" applyFont="1" applyFill="1" applyBorder="1" applyAlignment="1">
      <x:alignment horizontal="center"/>
    </x:xf>
    <x:xf numFmtId="201" fontId="8" fillId="4" borderId="8" xfId="0" applyNumberFormat="1" applyFont="1" applyFill="1" applyBorder="1" applyAlignment="1">
      <x:alignment horizontal="center"/>
    </x:xf>
    <x:xf numFmtId="201" fontId="8" fillId="4" borderId="9" xfId="0" applyNumberFormat="1" applyFont="1" applyFill="1" applyBorder="1" applyAlignment="1">
      <x:alignment horizontal="center"/>
    </x:xf>
    <x:xf numFmtId="201" fontId="8" fillId="4" borderId="4" xfId="0" applyNumberFormat="1" applyFont="1" applyFill="1" applyBorder="1" applyAlignment="1">
      <x:alignment horizontal="center" vertical="center"/>
    </x:xf>
    <x:xf numFmtId="201" fontId="8" fillId="4" borderId="5" xfId="0" applyNumberFormat="1" applyFont="1" applyFill="1" applyBorder="1" applyAlignment="1">
      <x:alignment horizontal="center" vertical="center"/>
    </x:xf>
    <x:xf numFmtId="201" fontId="8" fillId="4" borderId="6" xfId="0" applyNumberFormat="1" applyFont="1" applyFill="1" applyBorder="1" applyAlignment="1">
      <x:alignment horizontal="center" vertical="center"/>
    </x:xf>
    <x:xf numFmtId="201" fontId="8" fillId="4" borderId="7" xfId="0" applyNumberFormat="1" applyFont="1" applyFill="1" applyBorder="1" applyAlignment="1">
      <x:alignment horizontal="center" vertical="center"/>
    </x:xf>
    <x:xf numFmtId="201" fontId="8" fillId="4" borderId="8" xfId="0" applyNumberFormat="1" applyFont="1" applyFill="1" applyBorder="1" applyAlignment="1">
      <x:alignment horizontal="center" vertical="center"/>
    </x:xf>
    <x:xf numFmtId="201" fontId="8" fillId="4" borderId="9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0" xfId="0" applyNumberFormat="1" applyFont="1" applyFill="1" applyBorder="1"/>
    <x:xf numFmtId="0" fontId="9" fillId="10" borderId="11" xfId="0" applyNumberFormat="1" applyFont="1" applyFill="1" applyBorder="1"/>
    <x:xf numFmtId="0" fontId="9" fillId="10" borderId="12" xfId="0" applyNumberFormat="1" applyFont="1" applyFill="1" applyBorder="1"/>
    <x:xf numFmtId="0" fontId="9" fillId="10" borderId="10" xfId="0" applyNumberFormat="1" applyFont="1" applyFill="1" applyBorder="1" applyAlignment="1">
      <x:alignment horizontal="center"/>
    </x:xf>
    <x:xf numFmtId="0" fontId="9" fillId="10" borderId="11" xfId="0" applyNumberFormat="1" applyFont="1" applyFill="1" applyBorder="1" applyAlignment="1">
      <x:alignment horizontal="center"/>
    </x:xf>
    <x:xf numFmtId="0" fontId="9" fillId="10" borderId="12" xfId="0" applyNumberFormat="1" applyFont="1" applyFill="1" applyBorder="1" applyAlignment="1">
      <x:alignment horizontal="center"/>
    </x:xf>
    <x:xf numFmtId="0" fontId="9" fillId="10" borderId="10" xfId="0" applyNumberFormat="1" applyFont="1" applyFill="1" applyBorder="1" applyAlignment="1">
      <x:alignment horizontal="center" vertical="center"/>
    </x:xf>
    <x:xf numFmtId="0" fontId="9" fillId="10" borderId="11" xfId="0" applyNumberFormat="1" applyFont="1" applyFill="1" applyBorder="1" applyAlignment="1">
      <x:alignment horizontal="center" vertical="center"/>
    </x:xf>
    <x:xf numFmtId="0" fontId="9" fillId="10" borderId="12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13" xfId="0" applyNumberFormat="1" applyFont="1" applyFill="1" applyBorder="1"/>
    <x:xf numFmtId="0" fontId="2" fillId="12" borderId="14" xfId="0" applyNumberFormat="1" applyFont="1" applyFill="1" applyBorder="1"/>
    <x:xf numFmtId="0" fontId="2" fillId="12" borderId="15" xfId="0" applyNumberFormat="1" applyFont="1" applyFill="1" applyBorder="1"/>
    <x:xf numFmtId="0" fontId="2" fillId="12" borderId="13" xfId="0" applyNumberFormat="1" applyFont="1" applyFill="1" applyBorder="1" applyAlignment="1">
      <x:alignment wrapText="1"/>
    </x:xf>
    <x:xf numFmtId="0" fontId="2" fillId="12" borderId="14" xfId="0" applyNumberFormat="1" applyFont="1" applyFill="1" applyBorder="1" applyAlignment="1">
      <x:alignment wrapText="1"/>
    </x:xf>
    <x:xf numFmtId="0" fontId="2" fillId="12" borderId="15" xfId="0" applyNumberFormat="1" applyFont="1" applyFill="1" applyBorder="1" applyAlignment="1">
      <x:alignment wrapText="1"/>
    </x:xf>
    <x:xf numFmtId="0" fontId="2" fillId="12" borderId="13" xfId="0" applyNumberFormat="1" applyFont="1" applyFill="1" applyBorder="1" applyAlignment="1">
      <x:alignment horizontal="center" wrapText="1"/>
    </x:xf>
    <x:xf numFmtId="0" fontId="2" fillId="12" borderId="14" xfId="0" applyNumberFormat="1" applyFont="1" applyFill="1" applyBorder="1" applyAlignment="1">
      <x:alignment horizontal="center" wrapText="1"/>
    </x:xf>
    <x:xf numFmtId="0" fontId="2" fillId="12" borderId="15" xfId="0" applyNumberFormat="1" applyFont="1" applyFill="1" applyBorder="1" applyAlignment="1">
      <x:alignment horizontal="center" wrapText="1"/>
    </x:xf>
    <x:xf numFmtId="0" fontId="2" fillId="12" borderId="13" xfId="0" applyNumberFormat="1" applyFont="1" applyFill="1" applyBorder="1" applyAlignment="1">
      <x:alignment horizontal="center" vertical="center" wrapText="1"/>
    </x:xf>
    <x:xf numFmtId="0" fontId="2" fillId="12" borderId="14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16" xfId="0" applyNumberFormat="1" applyFont="1" applyFill="1" applyBorder="1"/>
    <x:xf numFmtId="0" fontId="11" fillId="13" borderId="17" xfId="0" applyNumberFormat="1" applyFont="1" applyFill="1" applyBorder="1"/>
    <x:xf numFmtId="0" fontId="11" fillId="13" borderId="18" xfId="0" applyNumberFormat="1" applyFont="1" applyFill="1" applyBorder="1"/>
    <x:xf numFmtId="0" fontId="11" fillId="13" borderId="19" xfId="0" applyNumberFormat="1" applyFont="1" applyFill="1" applyBorder="1"/>
    <x:xf numFmtId="0" fontId="11" fillId="13" borderId="20" xfId="0" applyNumberFormat="1" applyFont="1" applyFill="1" applyBorder="1"/>
    <x:xf numFmtId="0" fontId="11" fillId="13" borderId="21" xfId="0" applyNumberFormat="1" applyFont="1" applyFill="1" applyBorder="1"/>
    <x:xf numFmtId="0" fontId="11" fillId="13" borderId="22" xfId="0" applyNumberFormat="1" applyFont="1" applyFill="1" applyBorder="1"/>
    <x:xf numFmtId="0" fontId="11" fillId="13" borderId="23" xfId="0" applyNumberFormat="1" applyFont="1" applyFill="1" applyBorder="1"/>
    <x:xf numFmtId="0" fontId="11" fillId="13" borderId="24" xfId="0" applyNumberFormat="1" applyFont="1" applyFill="1" applyBorder="1"/>
    <x:xf numFmtId="0" fontId="11" fillId="13" borderId="16" xfId="0" applyNumberFormat="1" applyFont="1" applyFill="1" applyBorder="1" applyAlignment="1">
      <x:alignment wrapText="1"/>
    </x:xf>
    <x:xf numFmtId="0" fontId="11" fillId="13" borderId="17" xfId="0" applyNumberFormat="1" applyFont="1" applyFill="1" applyBorder="1" applyAlignment="1">
      <x:alignment wrapText="1"/>
    </x:xf>
    <x:xf numFmtId="0" fontId="11" fillId="13" borderId="18" xfId="0" applyNumberFormat="1" applyFont="1" applyFill="1" applyBorder="1" applyAlignment="1">
      <x:alignment wrapText="1"/>
    </x:xf>
    <x:xf numFmtId="0" fontId="11" fillId="13" borderId="19" xfId="0" applyNumberFormat="1" applyFont="1" applyFill="1" applyBorder="1" applyAlignment="1">
      <x:alignment wrapText="1"/>
    </x:xf>
    <x:xf numFmtId="0" fontId="11" fillId="13" borderId="20" xfId="0" applyNumberFormat="1" applyFont="1" applyFill="1" applyBorder="1" applyAlignment="1">
      <x:alignment wrapText="1"/>
    </x:xf>
    <x:xf numFmtId="0" fontId="11" fillId="13" borderId="21" xfId="0" applyNumberFormat="1" applyFont="1" applyFill="1" applyBorder="1" applyAlignment="1">
      <x:alignment wrapText="1"/>
    </x:xf>
    <x:xf numFmtId="0" fontId="11" fillId="13" borderId="22" xfId="0" applyNumberFormat="1" applyFont="1" applyFill="1" applyBorder="1" applyAlignment="1">
      <x:alignment wrapText="1"/>
    </x:xf>
    <x:xf numFmtId="0" fontId="11" fillId="13" borderId="23" xfId="0" applyNumberFormat="1" applyFont="1" applyFill="1" applyBorder="1" applyAlignment="1">
      <x:alignment wrapText="1"/>
    </x:xf>
    <x:xf numFmtId="0" fontId="11" fillId="13" borderId="24" xfId="0" applyNumberFormat="1" applyFont="1" applyFill="1" applyBorder="1" applyAlignment="1">
      <x:alignment wrapText="1"/>
    </x:xf>
    <x:xf numFmtId="0" fontId="11" fillId="13" borderId="16" xfId="0" applyNumberFormat="1" applyFont="1" applyFill="1" applyBorder="1" applyAlignment="1">
      <x:alignment horizontal="center" wrapText="1"/>
    </x:xf>
    <x:xf numFmtId="0" fontId="11" fillId="13" borderId="17" xfId="0" applyNumberFormat="1" applyFont="1" applyFill="1" applyBorder="1" applyAlignment="1">
      <x:alignment horizontal="center" wrapText="1"/>
    </x:xf>
    <x:xf numFmtId="0" fontId="11" fillId="13" borderId="18" xfId="0" applyNumberFormat="1" applyFont="1" applyFill="1" applyBorder="1" applyAlignment="1">
      <x:alignment horizontal="center" wrapText="1"/>
    </x:xf>
    <x:xf numFmtId="0" fontId="11" fillId="13" borderId="19" xfId="0" applyNumberFormat="1" applyFont="1" applyFill="1" applyBorder="1" applyAlignment="1">
      <x:alignment horizontal="center" wrapText="1"/>
    </x:xf>
    <x:xf numFmtId="0" fontId="11" fillId="13" borderId="20" xfId="0" applyNumberFormat="1" applyFont="1" applyFill="1" applyBorder="1" applyAlignment="1">
      <x:alignment horizontal="center" wrapText="1"/>
    </x:xf>
    <x:xf numFmtId="0" fontId="11" fillId="13" borderId="21" xfId="0" applyNumberFormat="1" applyFont="1" applyFill="1" applyBorder="1" applyAlignment="1">
      <x:alignment horizontal="center" wrapText="1"/>
    </x:xf>
    <x:xf numFmtId="0" fontId="11" fillId="13" borderId="22" xfId="0" applyNumberFormat="1" applyFont="1" applyFill="1" applyBorder="1" applyAlignment="1">
      <x:alignment horizontal="center" wrapText="1"/>
    </x:xf>
    <x:xf numFmtId="0" fontId="11" fillId="13" borderId="23" xfId="0" applyNumberFormat="1" applyFont="1" applyFill="1" applyBorder="1" applyAlignment="1">
      <x:alignment horizontal="center" wrapText="1"/>
    </x:xf>
    <x:xf numFmtId="0" fontId="11" fillId="13" borderId="24" xfId="0" applyNumberFormat="1" applyFont="1" applyFill="1" applyBorder="1" applyAlignment="1">
      <x:alignment horizontal="center" wrapText="1"/>
    </x:xf>
    <x:xf numFmtId="0" fontId="11" fillId="13" borderId="16" xfId="0" applyNumberFormat="1" applyFont="1" applyFill="1" applyBorder="1" applyAlignment="1">
      <x:alignment horizontal="center" vertical="center" wrapText="1"/>
    </x:xf>
    <x:xf numFmtId="0" fontId="11" fillId="13" borderId="17" xfId="0" applyNumberFormat="1" applyFont="1" applyFill="1" applyBorder="1" applyAlignment="1">
      <x:alignment horizontal="center" vertical="center" wrapText="1"/>
    </x:xf>
    <x:xf numFmtId="0" fontId="11" fillId="13" borderId="18" xfId="0" applyNumberFormat="1" applyFont="1" applyFill="1" applyBorder="1" applyAlignment="1">
      <x:alignment horizontal="center" vertical="center" wrapText="1"/>
    </x:xf>
    <x:xf numFmtId="0" fontId="11" fillId="13" borderId="19" xfId="0" applyNumberFormat="1" applyFont="1" applyFill="1" applyBorder="1" applyAlignment="1">
      <x:alignment horizontal="center" vertical="center" wrapText="1"/>
    </x:xf>
    <x:xf numFmtId="0" fontId="11" fillId="13" borderId="20" xfId="0" applyNumberFormat="1" applyFont="1" applyFill="1" applyBorder="1" applyAlignment="1">
      <x:alignment horizontal="center" vertical="center" wrapText="1"/>
    </x:xf>
    <x:xf numFmtId="0" fontId="11" fillId="13" borderId="21" xfId="0" applyNumberFormat="1" applyFont="1" applyFill="1" applyBorder="1" applyAlignment="1">
      <x:alignment horizontal="center" vertical="center" wrapText="1"/>
    </x:xf>
    <x:xf numFmtId="0" fontId="11" fillId="13" borderId="22" xfId="0" applyNumberFormat="1" applyFont="1" applyFill="1" applyBorder="1" applyAlignment="1">
      <x:alignment horizontal="center" vertical="center" wrapText="1"/>
    </x:xf>
    <x:xf numFmtId="0" fontId="11" fillId="13" borderId="23" xfId="0" applyNumberFormat="1" applyFont="1" applyFill="1" applyBorder="1" applyAlignment="1">
      <x:alignment horizontal="center" vertical="center" wrapText="1"/>
    </x:xf>
    <x:xf numFmtId="0" fontId="11" fillId="13" borderId="24" xfId="0" applyNumberFormat="1" applyFont="1" applyFill="1" applyBorder="1" applyAlignment="1">
      <x:alignment horizontal="center" vertical="center" wrapText="1"/>
    </x:xf>
    <x:xf numFmtId="202" fontId="11" fillId="13" borderId="17" xfId="0" applyNumberFormat="1" applyFont="1" applyFill="1" applyBorder="1" applyAlignment="1">
      <x:alignment horizontal="center" vertical="center" wrapText="1"/>
    </x:xf>
    <x:xf numFmtId="202" fontId="11" fillId="13" borderId="20" xfId="0" applyNumberFormat="1" applyFont="1" applyFill="1" applyBorder="1" applyAlignment="1">
      <x:alignment horizontal="center" vertical="center" wrapText="1"/>
    </x:xf>
    <x:xf numFmtId="202" fontId="11" fillId="13" borderId="23" xfId="0" applyNumberFormat="1" applyFont="1" applyFill="1" applyBorder="1" applyAlignment="1">
      <x:alignment horizontal="center" vertical="center" wrapText="1"/>
    </x:xf>
    <x:xf numFmtId="203" fontId="11" fillId="13" borderId="17" xfId="0" applyNumberFormat="1" applyFont="1" applyFill="1" applyBorder="1" applyAlignment="1">
      <x:alignment horizontal="center" vertical="center" wrapText="1"/>
    </x:xf>
    <x:xf numFmtId="203" fontId="11" fillId="13" borderId="20" xfId="0" applyNumberFormat="1" applyFont="1" applyFill="1" applyBorder="1" applyAlignment="1">
      <x:alignment horizontal="center" vertical="center" wrapText="1"/>
    </x:xf>
    <x:xf numFmtId="203" fontId="11" fillId="13" borderId="23" xfId="0" applyNumberFormat="1" applyFont="1" applyFill="1" applyBorder="1" applyAlignment="1">
      <x:alignment horizontal="center" vertical="center" wrapText="1"/>
    </x:xf>
    <x:xf numFmtId="200" fontId="11" fillId="13" borderId="17" xfId="0" applyNumberFormat="1" applyFont="1" applyFill="1" applyBorder="1" applyAlignment="1">
      <x:alignment horizontal="center" vertical="center" wrapText="1"/>
    </x:xf>
    <x:xf numFmtId="200" fontId="11" fillId="13" borderId="20" xfId="0" applyNumberFormat="1" applyFont="1" applyFill="1" applyBorder="1" applyAlignment="1">
      <x:alignment horizontal="center" vertical="center" wrapText="1"/>
    </x:xf>
    <x:xf numFmtId="200" fontId="11" fillId="13" borderId="2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ill>
        <x:patternFill patternType="solid">
          <x:bgColor rgb="FFF8F7F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9F1239"/>
      </x:font>
      <x:fill>
        <x:patternFill patternType="solid">
          <x:bgColor rgb="FFFFE4E6"/>
        </x:patternFill>
      </x:fill>
    </x:dxf>
    <x:dxf>
      <x:font>
        <x:b/>
        <x:color rgb="FF7C2D12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abe8c20d04ff9" /><Relationship Type="http://schemas.openxmlformats.org/officeDocument/2006/relationships/theme" Target="/xl/theme/theme1.xml" Id="R8ed1478c86394c2c" /><Relationship Type="http://schemas.openxmlformats.org/officeDocument/2006/relationships/sharedStrings" Target="/xl/sharedStrings.xml" Id="R8be7f8bdcd1f4a6a" /><Relationship Type="http://schemas.openxmlformats.org/officeDocument/2006/relationships/worksheet" Target="/xl/worksheets/sheet1.xml" Id="Rd45df9aa2f6a430a" /></Relationships>
</file>

<file path=xl/tables/table1.xml><?xml version="1.0" encoding="utf-8"?>
<x:table xmlns:x="http://schemas.openxmlformats.org/spreadsheetml/2006/main" id="1" name="RpgArenaMasterBacklog" displayName="RpgArenaMasterBacklog" ref="A8:R152" headerRowCount="1" totalsRowCount="0" totalsRowShown="0">
  <x:autoFilter ref="A8:R152"/>
  <x:tableColumns count="18">
    <x:tableColumn id="1" name="ID"/>
    <x:tableColumn id="2" name="Mês"/>
    <x:tableColumn id="3" name="Semana"/>
    <x:tableColumn id="4" name="Data"/>
    <x:tableColumn id="5" name="Fase"/>
    <x:tableColumn id="6" name="Tipo"/>
    <x:tableColumn id="7" name="Área"/>
    <x:tableColumn id="8" name="Tarefa"/>
    <x:tableColumn id="9" name="Como executar"/>
    <x:tableColumn id="10" name="Critério de aceite"/>
    <x:tableColumn id="11" name="Evidência"/>
    <x:tableColumn id="12" name="Prioridade"/>
    <x:tableColumn id="13" name="Horas"/>
    <x:tableColumn id="14" name="Dependência"/>
    <x:tableColumn id="15" name="Episódio"/>
    <x:tableColumn id="16" name="Status"/>
    <x:tableColumn id="17" name="Progresso"/>
    <x:tableColumn id="18" name="Referência oficial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47884320f74a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13" hidden="0" customWidth="1"/>
    <x:col min="5" max="5" width="25" hidden="0" customWidth="1"/>
    <x:col min="6" max="6" width="17" hidden="0" customWidth="1"/>
    <x:col min="7" max="7" width="17" hidden="0" customWidth="1"/>
    <x:col min="8" max="8" width="35" hidden="0" customWidth="1"/>
    <x:col min="9" max="9" width="48" hidden="0" customWidth="1"/>
    <x:col min="10" max="10" width="45" hidden="0" customWidth="1"/>
    <x:col min="11" max="11" width="32" hidden="0" customWidth="1"/>
    <x:col min="12" max="12" width="12" hidden="0" customWidth="1"/>
    <x:col min="13" max="13" width="9" hidden="0" customWidth="1"/>
    <x:col min="14" max="14" width="20" hidden="0" customWidth="1"/>
    <x:col min="15" max="15" width="11" hidden="0" customWidth="1"/>
    <x:col min="16" max="16" width="16" hidden="0" customWidth="1"/>
    <x:col min="17" max="17" width="13" hidden="0" customWidth="1"/>
    <x:col min="18" max="18" width="39" hidden="0" customWidth="1"/>
  </x:cols>
  <x:sheetData>
    <x:row r="1" ht="27" customHeight="1">
      <x:c r="A1" s="4" t="str">
        <x:v>RPG ARENA - PLANO MESTRE DE 6 MESES + MINISSÉRIE YOUTUBE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0" customHeight="1">
      <x:c r="A3" s="13" t="str">
        <x:v>PROGRESSO GERAL</x:v>
      </x:c>
      <x:c r="B3" s="14"/>
      <x:c r="C3" s="15"/>
      <x:c r="D3" s="50" t="str">
        <x:v>TOTAL DE TAREFAS</x:v>
      </x:c>
      <x:c r="E3" s="51"/>
      <x:c r="F3" s="52"/>
      <x:c r="G3" s="86" t="str">
        <x:v>CONCLUÍDAS</x:v>
      </x:c>
      <x:c r="H3" s="87"/>
      <x:c r="I3" s="88"/>
      <x:c r="J3" s="122" t="str">
        <x:v>EM ANDAMENTO</x:v>
      </x:c>
      <x:c r="K3" s="123"/>
      <x:c r="L3" s="124"/>
      <x:c r="M3" s="158" t="str">
        <x:v>NÃO INICIADAS</x:v>
      </x:c>
      <x:c r="N3" s="159"/>
      <x:c r="O3" s="160"/>
      <x:c r="P3" s="194" t="str">
        <x:v>BLOQUEADAS</x:v>
      </x:c>
      <x:c r="Q3" s="195"/>
      <x:c r="R3" s="196"/>
    </x:row>
    <x:row r="4" ht="24" customHeight="1">
      <x:c r="A4" s="36" t="n">
        <x:f>IFERROR(AVERAGE($Q$9:$Q$152),0)</x:f>
        <x:v>0</x:v>
      </x:c>
      <x:c r="B4" s="37"/>
      <x:c r="C4" s="38"/>
      <x:c r="D4" s="72" t="n">
        <x:f>COUNTA($A$9:$A$152)</x:f>
        <x:v>144</x:v>
      </x:c>
      <x:c r="E4" s="73"/>
      <x:c r="F4" s="74"/>
      <x:c r="G4" s="108" t="n">
        <x:f>COUNTIF($P$9:$P$152,"Concluída")</x:f>
        <x:v>0</x:v>
      </x:c>
      <x:c r="H4" s="109"/>
      <x:c r="I4" s="110"/>
      <x:c r="J4" s="144" t="n">
        <x:f>COUNTIF($P$9:$P$152,"Em andamento")</x:f>
        <x:v>0</x:v>
      </x:c>
      <x:c r="K4" s="145"/>
      <x:c r="L4" s="146"/>
      <x:c r="M4" s="180" t="n">
        <x:f>COUNTIF($P$9:$P$152,"Não iniciada")</x:f>
        <x:v>144</x:v>
      </x:c>
      <x:c r="N4" s="181"/>
      <x:c r="O4" s="182"/>
      <x:c r="P4" s="216" t="n">
        <x:f>COUNTIF($P$9:$P$152,"Bloqueada")</x:f>
        <x:v>0</x:v>
      </x:c>
      <x:c r="Q4" s="217"/>
      <x:c r="R4" s="218"/>
    </x:row>
    <x:row r="5" ht="24" customHeight="1">
      <x:c r="A5" s="39"/>
      <x:c r="B5" s="40"/>
      <x:c r="C5" s="41"/>
      <x:c r="D5" s="75"/>
      <x:c r="E5" s="76"/>
      <x:c r="F5" s="77"/>
      <x:c r="G5" s="111"/>
      <x:c r="H5" s="112"/>
      <x:c r="I5" s="113"/>
      <x:c r="J5" s="147"/>
      <x:c r="K5" s="148"/>
      <x:c r="L5" s="149"/>
      <x:c r="M5" s="183"/>
      <x:c r="N5" s="184"/>
      <x:c r="O5" s="185"/>
      <x:c r="P5" s="219"/>
      <x:c r="Q5" s="220"/>
      <x:c r="R5" s="221"/>
    </x:row>
    <x:row r="6" ht="24" customHeight="1">
      <x:c r="A6" s="230" t="str">
        <x:v>24 SEMANAS | 144 TAREFAS | 12 EPISÓDIOS | 24 SHORTS | 24/08/2026 A 07/02/2027</x:v>
      </x:c>
      <x:c r="B6" s="231"/>
      <x:c r="C6" s="231"/>
      <x:c r="D6" s="231"/>
      <x:c r="E6" s="231"/>
      <x:c r="F6" s="231"/>
      <x:c r="G6" s="231"/>
      <x:c r="H6" s="231"/>
      <x:c r="I6" s="231"/>
      <x:c r="J6" s="231"/>
      <x:c r="K6" s="231"/>
      <x:c r="L6" s="231"/>
      <x:c r="M6" s="231"/>
      <x:c r="N6" s="231"/>
      <x:c r="O6" s="231"/>
      <x:c r="P6" s="231"/>
      <x:c r="Q6" s="231"/>
      <x:c r="R6" s="232"/>
    </x:row>
    <x:row r="7" ht="24" customHeight="1">
      <x:c r="A7" s="236" t="str">
        <x:v>ATUALIZE SOMENTE O STATUS - O PAINEL E O PROGRESSO SÃO AUTOMÁTICOS</x:v>
      </x:c>
      <x:c r="B7" s="236"/>
      <x:c r="C7" s="236"/>
      <x:c r="D7" s="236"/>
      <x:c r="E7" s="236"/>
      <x:c r="F7" s="236"/>
      <x:c r="G7" s="236"/>
      <x:c r="H7" s="236"/>
      <x:c r="I7" s="236"/>
      <x:c r="J7" s="236"/>
      <x:c r="K7" s="236"/>
      <x:c r="L7" s="236"/>
      <x:c r="M7" s="236"/>
      <x:c r="N7" s="236"/>
      <x:c r="O7" s="236"/>
      <x:c r="P7" s="236"/>
      <x:c r="Q7" s="236"/>
      <x:c r="R7" s="236"/>
    </x:row>
    <x:row r="8" ht="38" customHeight="1">
      <x:c r="A8" s="248" t="str">
        <x:v>ID</x:v>
      </x:c>
      <x:c r="B8" s="249" t="str">
        <x:v>Mês</x:v>
      </x:c>
      <x:c r="C8" s="249" t="str">
        <x:v>Semana</x:v>
      </x:c>
      <x:c r="D8" s="249" t="str">
        <x:v>Data</x:v>
      </x:c>
      <x:c r="E8" s="249" t="str">
        <x:v>Fase</x:v>
      </x:c>
      <x:c r="F8" s="249" t="str">
        <x:v>Tipo</x:v>
      </x:c>
      <x:c r="G8" s="249" t="str">
        <x:v>Área</x:v>
      </x:c>
      <x:c r="H8" s="249" t="str">
        <x:v>Tarefa</x:v>
      </x:c>
      <x:c r="I8" s="249" t="str">
        <x:v>Como executar</x:v>
      </x:c>
      <x:c r="J8" s="249" t="str">
        <x:v>Critério de aceite</x:v>
      </x:c>
      <x:c r="K8" s="249" t="str">
        <x:v>Evidência</x:v>
      </x:c>
      <x:c r="L8" s="249" t="str">
        <x:v>Prioridade</x:v>
      </x:c>
      <x:c r="M8" s="249" t="str">
        <x:v>Horas</x:v>
      </x:c>
      <x:c r="N8" s="249" t="str">
        <x:v>Dependência</x:v>
      </x:c>
      <x:c r="O8" s="249" t="str">
        <x:v>Episódio</x:v>
      </x:c>
      <x:c r="P8" s="249" t="str">
        <x:v>Status</x:v>
      </x:c>
      <x:c r="Q8" s="249" t="str">
        <x:v>Progresso</x:v>
      </x:c>
      <x:c r="R8" s="250" t="str">
        <x:v>Referência oficial</x:v>
      </x:c>
    </x:row>
    <x:row r="9" ht="58" customHeight="1">
      <x:c r="A9" s="280" t="str">
        <x:v>RPG-M1-W01-01</x:v>
      </x:c>
      <x:c r="B9" s="281" t="str">
        <x:v>Mês 1</x:v>
      </x:c>
      <x:c r="C9" s="281" t="str">
        <x:v>Semana 01</x:v>
      </x:c>
      <x:c r="D9" s="289" t="n">
        <x:v>46258</x:v>
      </x:c>
      <x:c r="E9" s="281" t="str">
        <x:v>Núcleo jogável</x:v>
      </x:c>
      <x:c r="F9" s="281" t="str">
        <x:v>Produto</x:v>
      </x:c>
      <x:c r="G9" s="281" t="str">
        <x:v>Produto</x:v>
      </x:c>
      <x:c r="H9" s="281" t="str">
        <x:v>Definir visão e público</x:v>
      </x:c>
      <x:c r="I9" s="281" t="str">
        <x:v>Escreva a proposta, público, fantasia central, diferencial educacional e resultado esperado em uma página.</x:v>
      </x:c>
      <x:c r="J9" s="281" t="str">
        <x:v>A visão responde para quem, por quê, o que será entregue e como medir sucesso.</x:v>
      </x:c>
      <x:c r="K9" s="281" t="str">
        <x:v>docs/product/vision.md</x:v>
      </x:c>
      <x:c r="L9" s="281" t="str">
        <x:v>Crítica</x:v>
      </x:c>
      <x:c r="M9" s="292" t="n">
        <x:v>3</x:v>
      </x:c>
      <x:c r="N9" s="281" t="str">
        <x:v>Nenhuma</x:v>
      </x:c>
      <x:c r="O9" s="281" t="str">
        <x:v>E01</x:v>
      </x:c>
      <x:c r="P9" s="281" t="str">
        <x:v>Não iniciada</x:v>
      </x:c>
      <x:c r="Q9" s="295" t="n">
        <x:f>IF(P9="Concluída",1,IF(P9="Em andamento",0.5,IF(P9="Bloqueada",0.25,0)))</x:f>
        <x:v>0</x:v>
      </x:c>
      <x:c r="R9" s="282" t="str">
        <x:v>https://docs.github.com/</x:v>
      </x:c>
    </x:row>
    <x:row r="10" ht="58" customHeight="1">
      <x:c r="A10" s="283" t="str">
        <x:v>RPG-M1-W01-02</x:v>
      </x:c>
      <x:c r="B10" s="284" t="str">
        <x:v>Mês 1</x:v>
      </x:c>
      <x:c r="C10" s="284" t="str">
        <x:v>Semana 01</x:v>
      </x:c>
      <x:c r="D10" s="290" t="n">
        <x:v>46259</x:v>
      </x:c>
      <x:c r="E10" s="284" t="str">
        <x:v>Núcleo jogável</x:v>
      </x:c>
      <x:c r="F10" s="284" t="str">
        <x:v>Produto</x:v>
      </x:c>
      <x:c r="G10" s="284" t="str">
        <x:v>Requisitos</x:v>
      </x:c>
      <x:c r="H10" s="284" t="str">
        <x:v>Fechar MVP e não objetivos</x:v>
      </x:c>
      <x:c r="I10" s="284" t="str">
        <x:v>Inclua conta, personagem, combate, inventário, progressão, missão, mundo e economia; exclua UI gráfica, multiplayer, Kafka e microserviços.</x:v>
      </x:c>
      <x:c r="J10" s="284" t="str">
        <x:v>Todo item do MVP cabe em um dos seis marcos e o fora de escopo está explícito.</x:v>
      </x:c>
      <x:c r="K10" s="284" t="str">
        <x:v>docs/product/scope.md</x:v>
      </x:c>
      <x:c r="L10" s="284" t="str">
        <x:v>Crítica</x:v>
      </x:c>
      <x:c r="M10" s="293" t="n">
        <x:v>3</x:v>
      </x:c>
      <x:c r="N10" s="284" t="str">
        <x:v>RPG-M1-W01-01</x:v>
      </x:c>
      <x:c r="O10" s="284" t="str">
        <x:v>E01</x:v>
      </x:c>
      <x:c r="P10" s="284" t="str">
        <x:v>Não iniciada</x:v>
      </x:c>
      <x:c r="Q10" s="296" t="n">
        <x:f>IF(P10="Concluída",1,IF(P10="Em andamento",0.5,IF(P10="Bloqueada",0.25,0)))</x:f>
        <x:v>0</x:v>
      </x:c>
      <x:c r="R10" s="285" t="str">
        <x:v>https://docs.github.com/</x:v>
      </x:c>
    </x:row>
    <x:row r="11" ht="58" customHeight="1">
      <x:c r="A11" s="283" t="str">
        <x:v>RPG-M1-W01-03</x:v>
      </x:c>
      <x:c r="B11" s="284" t="str">
        <x:v>Mês 1</x:v>
      </x:c>
      <x:c r="C11" s="284" t="str">
        <x:v>Semana 01</x:v>
      </x:c>
      <x:c r="D11" s="290" t="n">
        <x:v>46260</x:v>
      </x:c>
      <x:c r="E11" s="284" t="str">
        <x:v>Núcleo jogável</x:v>
      </x:c>
      <x:c r="F11" s="284" t="str">
        <x:v>Documentação</x:v>
      </x:c>
      <x:c r="G11" s="284" t="str">
        <x:v>Requisitos</x:v>
      </x:c>
      <x:c r="H11" s="284" t="str">
        <x:v>Descrever jornadas e glossário</x:v>
      </x:c>
      <x:c r="I11" s="284" t="str">
        <x:v>Modele criar conta, criar personagem, lutar, obter item, evoluir, viajar, comprar e concluir missão; defina termos do jogo.</x:v>
      </x:c>
      <x:c r="J11" s="284" t="str">
        <x:v>Cada jornada tem fluxo principal, falhas, pré-condições e resultado.</x:v>
      </x:c>
      <x:c r="K11" s="284" t="str">
        <x:v>docs/requirements/journeys.md e glossary.md</x:v>
      </x:c>
      <x:c r="L11" s="284" t="str">
        <x:v>Alta</x:v>
      </x:c>
      <x:c r="M11" s="293" t="n">
        <x:v>4</x:v>
      </x:c>
      <x:c r="N11" s="284" t="str">
        <x:v>RPG-M1-W01-02</x:v>
      </x:c>
      <x:c r="O11" s="284" t="str">
        <x:v>E01</x:v>
      </x:c>
      <x:c r="P11" s="284" t="str">
        <x:v>Não iniciada</x:v>
      </x:c>
      <x:c r="Q11" s="296" t="n">
        <x:f>IF(P11="Concluída",1,IF(P11="Em andamento",0.5,IF(P11="Bloqueada",0.25,0)))</x:f>
        <x:v>0</x:v>
      </x:c>
      <x:c r="R11" s="285" t="str">
        <x:v>https://mermaid.js.org/</x:v>
      </x:c>
    </x:row>
    <x:row r="12" ht="58" customHeight="1">
      <x:c r="A12" s="283" t="str">
        <x:v>RPG-M1-W01-04</x:v>
      </x:c>
      <x:c r="B12" s="284" t="str">
        <x:v>Mês 1</x:v>
      </x:c>
      <x:c r="C12" s="284" t="str">
        <x:v>Semana 01</x:v>
      </x:c>
      <x:c r="D12" s="290" t="n">
        <x:v>46261</x:v>
      </x:c>
      <x:c r="E12" s="284" t="str">
        <x:v>Núcleo jogável</x:v>
      </x:c>
      <x:c r="F12" s="284" t="str">
        <x:v>Git/GitHub</x:v>
      </x:c>
      <x:c r="G12" s="284" t="str">
        <x:v>GitHub</x:v>
      </x:c>
      <x:c r="H12" s="284" t="str">
        <x:v>Criar repositório e metadados</x:v>
      </x:c>
      <x:c r="I12" s="284" t="str">
        <x:v>Use nome rpg-arena, descrição, topics, licença MIT, .gitignore Java, main protegida e squash merge.</x:v>
      </x:c>
      <x:c r="J12" s="284" t="str">
        <x:v>Repositório público apresenta descrição, licença, topics e regras de merge.</x:v>
      </x:c>
      <x:c r="K12" s="284" t="str">
        <x:v>Repositório GitHub configurado</x:v>
      </x:c>
      <x:c r="L12" s="284" t="str">
        <x:v>Crítica</x:v>
      </x:c>
      <x:c r="M12" s="293" t="n">
        <x:v>3</x:v>
      </x:c>
      <x:c r="N12" s="284" t="str">
        <x:v>RPG-M1-W01-03</x:v>
      </x:c>
      <x:c r="O12" s="284" t="str">
        <x:v>E01</x:v>
      </x:c>
      <x:c r="P12" s="284" t="str">
        <x:v>Não iniciada</x:v>
      </x:c>
      <x:c r="Q12" s="296" t="n">
        <x:f>IF(P12="Concluída",1,IF(P12="Em andamento",0.5,IF(P12="Bloqueada",0.25,0)))</x:f>
        <x:v>0</x:v>
      </x:c>
      <x:c r="R12" s="285" t="str">
        <x:v>https://docs.github.com/</x:v>
      </x:c>
    </x:row>
    <x:row r="13" ht="58" customHeight="1">
      <x:c r="A13" s="283" t="str">
        <x:v>RPG-M1-W01-05</x:v>
      </x:c>
      <x:c r="B13" s="284" t="str">
        <x:v>Mês 1</x:v>
      </x:c>
      <x:c r="C13" s="284" t="str">
        <x:v>Semana 01</x:v>
      </x:c>
      <x:c r="D13" s="290" t="n">
        <x:v>46262</x:v>
      </x:c>
      <x:c r="E13" s="284" t="str">
        <x:v>Núcleo jogável</x:v>
      </x:c>
      <x:c r="F13" s="284" t="str">
        <x:v>Gestão</x:v>
      </x:c>
      <x:c r="G13" s="284" t="str">
        <x:v>Gestão</x:v>
      </x:c>
      <x:c r="H13" s="284" t="str">
        <x:v>Criar backlog, DoR e DoD</x:v>
      </x:c>
      <x:c r="I13" s="284" t="str">
        <x:v>Transforme o escopo em issues; adote Ready, In Progress, Review e Done; registre critérios para iniciar e concluir.</x:v>
      </x:c>
      <x:c r="J13" s="284" t="str">
        <x:v>Todas as issues do mês 1 têm aceite, prioridade, tamanho e evidência.</x:v>
      </x:c>
      <x:c r="K13" s="284" t="str">
        <x:v>GitHub Project e docs/process.md</x:v>
      </x:c>
      <x:c r="L13" s="284" t="str">
        <x:v>Crítica</x:v>
      </x:c>
      <x:c r="M13" s="293" t="n">
        <x:v>4</x:v>
      </x:c>
      <x:c r="N13" s="284" t="str">
        <x:v>RPG-M1-W01-04</x:v>
      </x:c>
      <x:c r="O13" s="284" t="str">
        <x:v>E01</x:v>
      </x:c>
      <x:c r="P13" s="284" t="str">
        <x:v>Não iniciada</x:v>
      </x:c>
      <x:c r="Q13" s="296" t="n">
        <x:f>IF(P13="Concluída",1,IF(P13="Em andamento",0.5,IF(P13="Bloqueada",0.25,0)))</x:f>
        <x:v>0</x:v>
      </x:c>
      <x:c r="R13" s="285" t="str">
        <x:v>https://docs.github.com/</x:v>
      </x:c>
    </x:row>
    <x:row r="14" ht="58" customHeight="1">
      <x:c r="A14" s="283" t="str">
        <x:v>RPG-M1-W01-06</x:v>
      </x:c>
      <x:c r="B14" s="284" t="str">
        <x:v>Mês 1</x:v>
      </x:c>
      <x:c r="C14" s="284" t="str">
        <x:v>Semana 01</x:v>
      </x:c>
      <x:c r="D14" s="290" t="n">
        <x:v>46264</x:v>
      </x:c>
      <x:c r="E14" s="284" t="str">
        <x:v>Núcleo jogável</x:v>
      </x:c>
      <x:c r="F14" s="284" t="str">
        <x:v>Conteúdo</x:v>
      </x:c>
      <x:c r="G14" s="284" t="str">
        <x:v>YouTube</x:v>
      </x:c>
      <x:c r="H14" s="284" t="str">
        <x:v>Preparar identidade e trailer da série</x:v>
      </x:c>
      <x:c r="I14" s="284" t="str">
        <x:v>Defina nome da série, padrão de thumbnail, tela de código, vinheta curta e grave um trailer de 45-60 segundos.</x:v>
      </x:c>
      <x:c r="J14" s="284" t="str">
        <x:v>Trailer explica o desafio de seis meses e aponta para o repositório.</x:v>
      </x:c>
      <x:c r="K14" s="284" t="str">
        <x:v>youtube/trailer e brand-guide.md</x:v>
      </x:c>
      <x:c r="L14" s="284" t="str">
        <x:v>Alta</x:v>
      </x:c>
      <x:c r="M14" s="293" t="n">
        <x:v>3</x:v>
      </x:c>
      <x:c r="N14" s="284" t="str">
        <x:v>RPG-M1-W01-05</x:v>
      </x:c>
      <x:c r="O14" s="284" t="str">
        <x:v>E01</x:v>
      </x:c>
      <x:c r="P14" s="284" t="str">
        <x:v>Não iniciada</x:v>
      </x:c>
      <x:c r="Q14" s="296" t="n">
        <x:f>IF(P14="Concluída",1,IF(P14="Em andamento",0.5,IF(P14="Bloqueada",0.25,0)))</x:f>
        <x:v>0</x:v>
      </x:c>
      <x:c r="R14" s="285" t="str">
        <x:v>https://www.youtube.com/creators/</x:v>
      </x:c>
    </x:row>
    <x:row r="15" ht="58" customHeight="1">
      <x:c r="A15" s="283" t="str">
        <x:v>RPG-M1-W02-01</x:v>
      </x:c>
      <x:c r="B15" s="284" t="str">
        <x:v>Mês 1</x:v>
      </x:c>
      <x:c r="C15" s="284" t="str">
        <x:v>Semana 02</x:v>
      </x:c>
      <x:c r="D15" s="290" t="n">
        <x:v>46265</x:v>
      </x:c>
      <x:c r="E15" s="284" t="str">
        <x:v>Núcleo jogável</x:v>
      </x:c>
      <x:c r="F15" s="284" t="str">
        <x:v>Arquitetura</x:v>
      </x:c>
      <x:c r="G15" s="284" t="str">
        <x:v>Arquitetura</x:v>
      </x:c>
      <x:c r="H15" s="284" t="str">
        <x:v>Definir monólito modular</x:v>
      </x:c>
      <x:c r="I15" s="284" t="str">
        <x:v>Separe account, character, combat, inventory, progression, quest, world, economy e shared; use domínio, aplicação, infraestrutura e interfaces dentro de cada módulo.</x:v>
      </x:c>
      <x:c r="J15" s="284" t="str">
        <x:v>O diagrama mostra módulos e nenhuma regra depende de controller ou JPA.</x:v>
      </x:c>
      <x:c r="K15" s="284" t="str">
        <x:v>docs/architecture/modules.md</x:v>
      </x:c>
      <x:c r="L15" s="284" t="str">
        <x:v>Crítica</x:v>
      </x:c>
      <x:c r="M15" s="293" t="n">
        <x:v>4</x:v>
      </x:c>
      <x:c r="N15" s="284" t="str">
        <x:v>RPG-M1-W01-06</x:v>
      </x:c>
      <x:c r="O15" s="284" t="str">
        <x:v>E01</x:v>
      </x:c>
      <x:c r="P15" s="284" t="str">
        <x:v>Não iniciada</x:v>
      </x:c>
      <x:c r="Q15" s="296" t="n">
        <x:f>IF(P15="Concluída",1,IF(P15="Em andamento",0.5,IF(P15="Bloqueada",0.25,0)))</x:f>
        <x:v>0</x:v>
      </x:c>
      <x:c r="R15" s="285" t="str">
        <x:v>https://adr.github.io/</x:v>
      </x:c>
    </x:row>
    <x:row r="16" ht="58" customHeight="1">
      <x:c r="A16" s="283" t="str">
        <x:v>RPG-M1-W02-02</x:v>
      </x:c>
      <x:c r="B16" s="284" t="str">
        <x:v>Mês 1</x:v>
      </x:c>
      <x:c r="C16" s="284" t="str">
        <x:v>Semana 02</x:v>
      </x:c>
      <x:c r="D16" s="290" t="n">
        <x:v>46266</x:v>
      </x:c>
      <x:c r="E16" s="284" t="str">
        <x:v>Núcleo jogável</x:v>
      </x:c>
      <x:c r="F16" s="284" t="str">
        <x:v>Desenvolvimento</x:v>
      </x:c>
      <x:c r="G16" s="284" t="str">
        <x:v>Backend</x:v>
      </x:c>
      <x:c r="H16" s="284" t="str">
        <x:v>Criar projeto Java 21 e Spring Boot</x:v>
      </x:c>
      <x:c r="I16" s="284" t="str">
        <x:v>Gere Maven Wrapper com Web, Validation, Data JPA, Security, Actuator, PostgreSQL, Flyway e testes.</x:v>
      </x:c>
      <x:c r="J16" s="284" t="str">
        <x:v>./mvnw clean verify executa e /actuator/health responde UP.</x:v>
      </x:c>
      <x:c r="K16" s="284" t="str">
        <x:v>pom.xml e src/</x:v>
      </x:c>
      <x:c r="L16" s="284" t="str">
        <x:v>Crítica</x:v>
      </x:c>
      <x:c r="M16" s="293" t="n">
        <x:v>4</x:v>
      </x:c>
      <x:c r="N16" s="284" t="str">
        <x:v>RPG-M1-W02-01</x:v>
      </x:c>
      <x:c r="O16" s="284" t="str">
        <x:v>E01</x:v>
      </x:c>
      <x:c r="P16" s="284" t="str">
        <x:v>Não iniciada</x:v>
      </x:c>
      <x:c r="Q16" s="296" t="n">
        <x:f>IF(P16="Concluída",1,IF(P16="Em andamento",0.5,IF(P16="Bloqueada",0.25,0)))</x:f>
        <x:v>0</x:v>
      </x:c>
      <x:c r="R16" s="285" t="str">
        <x:v>https://docs.spring.io/spring-boot/system-requirements.html</x:v>
      </x:c>
    </x:row>
    <x:row r="17" ht="58" customHeight="1">
      <x:c r="A17" s="283" t="str">
        <x:v>RPG-M1-W02-03</x:v>
      </x:c>
      <x:c r="B17" s="284" t="str">
        <x:v>Mês 1</x:v>
      </x:c>
      <x:c r="C17" s="284" t="str">
        <x:v>Semana 02</x:v>
      </x:c>
      <x:c r="D17" s="290" t="n">
        <x:v>46267</x:v>
      </x:c>
      <x:c r="E17" s="284" t="str">
        <x:v>Núcleo jogável</x:v>
      </x:c>
      <x:c r="F17" s="284" t="str">
        <x:v>Arquitetura</x:v>
      </x:c>
      <x:c r="G17" s="284" t="str">
        <x:v>Estrutura</x:v>
      </x:c>
      <x:c r="H17" s="284" t="str">
        <x:v>Criar árvore de pacotes</x:v>
      </x:c>
      <x:c r="I17" s="284" t="str">
        <x:v>Implemente o pacote io.github.arthurtvrs10.rpgarena e a estrutura modular definida, ainda sem lógica falsa.</x:v>
      </x:c>
      <x:c r="J17" s="284" t="str">
        <x:v>Pacotes seguem o desenho e não existe pacote global service/controller/repository.</x:v>
      </x:c>
      <x:c r="K17" s="284" t="str">
        <x:v>src/main/java/.../rpgarena</x:v>
      </x:c>
      <x:c r="L17" s="284" t="str">
        <x:v>Alta</x:v>
      </x:c>
      <x:c r="M17" s="293" t="n">
        <x:v>3</x:v>
      </x:c>
      <x:c r="N17" s="284" t="str">
        <x:v>RPG-M1-W02-02</x:v>
      </x:c>
      <x:c r="O17" s="284" t="str">
        <x:v>E01</x:v>
      </x:c>
      <x:c r="P17" s="284" t="str">
        <x:v>Não iniciada</x:v>
      </x:c>
      <x:c r="Q17" s="296" t="n">
        <x:f>IF(P17="Concluída",1,IF(P17="Em andamento",0.5,IF(P17="Bloqueada",0.25,0)))</x:f>
        <x:v>0</x:v>
      </x:c>
      <x:c r="R17" s="285" t="str">
        <x:v>https://dev.java/learn/</x:v>
      </x:c>
    </x:row>
    <x:row r="18" ht="58" customHeight="1">
      <x:c r="A18" s="283" t="str">
        <x:v>RPG-M1-W02-04</x:v>
      </x:c>
      <x:c r="B18" s="284" t="str">
        <x:v>Mês 1</x:v>
      </x:c>
      <x:c r="C18" s="284" t="str">
        <x:v>Semana 02</x:v>
      </x:c>
      <x:c r="D18" s="290" t="n">
        <x:v>46268</x:v>
      </x:c>
      <x:c r="E18" s="284" t="str">
        <x:v>Núcleo jogável</x:v>
      </x:c>
      <x:c r="F18" s="284" t="str">
        <x:v>Documentação</x:v>
      </x:c>
      <x:c r="G18" s="284" t="str">
        <x:v>Decisões</x:v>
      </x:c>
      <x:c r="H18" s="284" t="str">
        <x:v>Registrar ADRs iniciais</x:v>
      </x:c>
      <x:c r="I18" s="284" t="str">
        <x:v>Crie ADRs para Java 21, Spring Boot 4.1, Maven, PostgreSQL, REST, monólito modular e UUID.</x:v>
      </x:c>
      <x:c r="J18" s="284" t="str">
        <x:v>Cada ADR contém contexto, opções, decisão, consequências e status.</x:v>
      </x:c>
      <x:c r="K18" s="284" t="str">
        <x:v>docs/adr/0001-0007</x:v>
      </x:c>
      <x:c r="L18" s="284" t="str">
        <x:v>Alta</x:v>
      </x:c>
      <x:c r="M18" s="293" t="n">
        <x:v>4</x:v>
      </x:c>
      <x:c r="N18" s="284" t="str">
        <x:v>RPG-M1-W02-03</x:v>
      </x:c>
      <x:c r="O18" s="284" t="str">
        <x:v>E01</x:v>
      </x:c>
      <x:c r="P18" s="284" t="str">
        <x:v>Não iniciada</x:v>
      </x:c>
      <x:c r="Q18" s="296" t="n">
        <x:f>IF(P18="Concluída",1,IF(P18="Em andamento",0.5,IF(P18="Bloqueada",0.25,0)))</x:f>
        <x:v>0</x:v>
      </x:c>
      <x:c r="R18" s="285" t="str">
        <x:v>https://adr.github.io/</x:v>
      </x:c>
    </x:row>
    <x:row r="19" ht="58" customHeight="1">
      <x:c r="A19" s="283" t="str">
        <x:v>RPG-M1-W02-05</x:v>
      </x:c>
      <x:c r="B19" s="284" t="str">
        <x:v>Mês 1</x:v>
      </x:c>
      <x:c r="C19" s="284" t="str">
        <x:v>Semana 02</x:v>
      </x:c>
      <x:c r="D19" s="290" t="n">
        <x:v>46269</x:v>
      </x:c>
      <x:c r="E19" s="284" t="str">
        <x:v>Núcleo jogável</x:v>
      </x:c>
      <x:c r="F19" s="284" t="str">
        <x:v>CI/CD</x:v>
      </x:c>
      <x:c r="G19" s="284" t="str">
        <x:v>CI/CD</x:v>
      </x:c>
      <x:c r="H19" s="284" t="str">
        <x:v>Configurar qualidade inicial</x:v>
      </x:c>
      <x:c r="I19" s="284" t="str">
        <x:v>Crie GitHub Actions com Java 21, cache Maven, verify, formatação e branch protection; valide Docker Desktop ou registre fallback com PostgreSQL local.</x:v>
      </x:c>
      <x:c r="J19" s="284" t="str">
        <x:v>PR de teste falha com teste quebrado e passa após correção; ambiente possui plano A e B.</x:v>
      </x:c>
      <x:c r="K19" s="284" t="str">
        <x:v>.github/workflows/ci.yml e docs/setup.md</x:v>
      </x:c>
      <x:c r="L19" s="284" t="str">
        <x:v>Crítica</x:v>
      </x:c>
      <x:c r="M19" s="293" t="n">
        <x:v>5</x:v>
      </x:c>
      <x:c r="N19" s="284" t="str">
        <x:v>RPG-M1-W02-04</x:v>
      </x:c>
      <x:c r="O19" s="284" t="str">
        <x:v>E01</x:v>
      </x:c>
      <x:c r="P19" s="284" t="str">
        <x:v>Não iniciada</x:v>
      </x:c>
      <x:c r="Q19" s="296" t="n">
        <x:f>IF(P19="Concluída",1,IF(P19="Em andamento",0.5,IF(P19="Bloqueada",0.25,0)))</x:f>
        <x:v>0</x:v>
      </x:c>
      <x:c r="R19" s="285" t="str">
        <x:v>https://docs.github.com/actions</x:v>
      </x:c>
    </x:row>
    <x:row r="20" ht="58" customHeight="1">
      <x:c r="A20" s="283" t="str">
        <x:v>RPG-M1-W02-06</x:v>
      </x:c>
      <x:c r="B20" s="284" t="str">
        <x:v>Mês 1</x:v>
      </x:c>
      <x:c r="C20" s="284" t="str">
        <x:v>Semana 02</x:v>
      </x:c>
      <x:c r="D20" s="290" t="n">
        <x:v>46271</x:v>
      </x:c>
      <x:c r="E20" s="284" t="str">
        <x:v>Núcleo jogável</x:v>
      </x:c>
      <x:c r="F20" s="284" t="str">
        <x:v>Conteúdo</x:v>
      </x:c>
      <x:c r="G20" s="284" t="str">
        <x:v>YouTube</x:v>
      </x:c>
      <x:c r="H20" s="284" t="str">
        <x:v>Publicar episódio 1</x:v>
      </x:c>
      <x:c r="I20" s="284" t="str">
        <x:v>Mostre escopo, decisões, árvore de módulos, setup e CI; use commits reais e feche com o próximo desafio.</x:v>
      </x:c>
      <x:c r="J20" s="284" t="str">
        <x:v>Vídeo publicado, capítulos adicionados e links do repositório e playlist conferidos.</x:v>
      </x:c>
      <x:c r="K20" s="284" t="str">
        <x:v>Episódio 1 publicado</x:v>
      </x:c>
      <x:c r="L20" s="284" t="str">
        <x:v>Alta</x:v>
      </x:c>
      <x:c r="M20" s="293" t="n">
        <x:v>4</x:v>
      </x:c>
      <x:c r="N20" s="284" t="str">
        <x:v>RPG-M1-W02-05</x:v>
      </x:c>
      <x:c r="O20" s="284" t="str">
        <x:v>E01</x:v>
      </x:c>
      <x:c r="P20" s="284" t="str">
        <x:v>Não iniciada</x:v>
      </x:c>
      <x:c r="Q20" s="296" t="n">
        <x:f>IF(P20="Concluída",1,IF(P20="Em andamento",0.5,IF(P20="Bloqueada",0.25,0)))</x:f>
        <x:v>0</x:v>
      </x:c>
      <x:c r="R20" s="285" t="str">
        <x:v>https://www.youtube.com/creators/</x:v>
      </x:c>
    </x:row>
    <x:row r="21" ht="58" customHeight="1">
      <x:c r="A21" s="283" t="str">
        <x:v>RPG-M1-W03-01</x:v>
      </x:c>
      <x:c r="B21" s="284" t="str">
        <x:v>Mês 1</x:v>
      </x:c>
      <x:c r="C21" s="284" t="str">
        <x:v>Semana 03</x:v>
      </x:c>
      <x:c r="D21" s="290" t="n">
        <x:v>46272</x:v>
      </x:c>
      <x:c r="E21" s="284" t="str">
        <x:v>Núcleo jogável</x:v>
      </x:c>
      <x:c r="F21" s="284" t="str">
        <x:v>Desenvolvimento</x:v>
      </x:c>
      <x:c r="G21" s="284" t="str">
        <x:v>Domínio</x:v>
      </x:c>
      <x:c r="H21" s="284" t="str">
        <x:v>Criar Value Objects do personagem</x:v>
      </x:c>
      <x:c r="I21" s="284" t="str">
        <x:v>Implemente CharacterId, CharacterName, Health, Mana, Strength, Defense e Agility com validação no construtor/factory.</x:v>
      </x:c>
      <x:c r="J21" s="284" t="str">
        <x:v>Valores inválidos não existem e igualdade segue valor, não referência.</x:v>
      </x:c>
      <x:c r="K21" s="284" t="str">
        <x:v>character/domain/valueobject</x:v>
      </x:c>
      <x:c r="L21" s="284" t="str">
        <x:v>Crítica</x:v>
      </x:c>
      <x:c r="M21" s="293" t="n">
        <x:v>5</x:v>
      </x:c>
      <x:c r="N21" s="284" t="str">
        <x:v>RPG-M1-W02-06</x:v>
      </x:c>
      <x:c r="O21" s="284" t="str">
        <x:v>E02</x:v>
      </x:c>
      <x:c r="P21" s="284" t="str">
        <x:v>Não iniciada</x:v>
      </x:c>
      <x:c r="Q21" s="296" t="n">
        <x:f>IF(P21="Concluída",1,IF(P21="Em andamento",0.5,IF(P21="Bloqueada",0.25,0)))</x:f>
        <x:v>0</x:v>
      </x:c>
      <x:c r="R21" s="285" t="str">
        <x:v>https://dev.java/learn/</x:v>
      </x:c>
    </x:row>
    <x:row r="22" ht="58" customHeight="1">
      <x:c r="A22" s="283" t="str">
        <x:v>RPG-M1-W03-02</x:v>
      </x:c>
      <x:c r="B22" s="284" t="str">
        <x:v>Mês 1</x:v>
      </x:c>
      <x:c r="C22" s="284" t="str">
        <x:v>Semana 03</x:v>
      </x:c>
      <x:c r="D22" s="290" t="n">
        <x:v>46273</x:v>
      </x:c>
      <x:c r="E22" s="284" t="str">
        <x:v>Núcleo jogável</x:v>
      </x:c>
      <x:c r="F22" s="284" t="str">
        <x:v>Desenvolvimento</x:v>
      </x:c>
      <x:c r="G22" s="284" t="str">
        <x:v>Domínio</x:v>
      </x:c>
      <x:c r="H22" s="284" t="str">
        <x:v>Modelar classes e atributos iniciais</x:v>
      </x:c>
      <x:c r="I22" s="284" t="str">
        <x:v>Crie Warrior, Mage e Rogue como enum/política; defina stats iniciais e crescimento sem if espalhado.</x:v>
      </x:c>
      <x:c r="J22" s="284" t="str">
        <x:v>Adicionar nova classe exige uma extensão localizada e testes deixam regras legíveis.</x:v>
      </x:c>
      <x:c r="K22" s="284" t="str">
        <x:v>character/domain/archetype</x:v>
      </x:c>
      <x:c r="L22" s="284" t="str">
        <x:v>Alta</x:v>
      </x:c>
      <x:c r="M22" s="293" t="n">
        <x:v>4</x:v>
      </x:c>
      <x:c r="N22" s="284" t="str">
        <x:v>RPG-M1-W03-01</x:v>
      </x:c>
      <x:c r="O22" s="284" t="str">
        <x:v>E02</x:v>
      </x:c>
      <x:c r="P22" s="284" t="str">
        <x:v>Não iniciada</x:v>
      </x:c>
      <x:c r="Q22" s="296" t="n">
        <x:f>IF(P22="Concluída",1,IF(P22="Em andamento",0.5,IF(P22="Bloqueada",0.25,0)))</x:f>
        <x:v>0</x:v>
      </x:c>
      <x:c r="R22" s="285" t="str">
        <x:v>https://dev.java/learn/</x:v>
      </x:c>
    </x:row>
    <x:row r="23" ht="58" customHeight="1">
      <x:c r="A23" s="283" t="str">
        <x:v>RPG-M1-W03-03</x:v>
      </x:c>
      <x:c r="B23" s="284" t="str">
        <x:v>Mês 1</x:v>
      </x:c>
      <x:c r="C23" s="284" t="str">
        <x:v>Semana 03</x:v>
      </x:c>
      <x:c r="D23" s="290" t="n">
        <x:v>46274</x:v>
      </x:c>
      <x:c r="E23" s="284" t="str">
        <x:v>Núcleo jogável</x:v>
      </x:c>
      <x:c r="F23" s="284" t="str">
        <x:v>Desenvolvimento</x:v>
      </x:c>
      <x:c r="G23" s="284" t="str">
        <x:v>Domínio</x:v>
      </x:c>
      <x:c r="H23" s="284" t="str">
        <x:v>Implementar agregado Character</x:v>
      </x:c>
      <x:c r="I23" s="284" t="str">
        <x:v>Controle nome, classe, nível, XP, vida atual e estados ACTIVE, DEFEATED e UNAVAILABLE dentro do agregado.</x:v>
      </x:c>
      <x:c r="J23" s="284" t="str">
        <x:v>Métodos impedem cura acima do máximo, dano negativo e ações quando derrotado.</x:v>
      </x:c>
      <x:c r="K23" s="284" t="str">
        <x:v>character/domain/model/Character.java</x:v>
      </x:c>
      <x:c r="L23" s="284" t="str">
        <x:v>Crítica</x:v>
      </x:c>
      <x:c r="M23" s="293" t="n">
        <x:v>5</x:v>
      </x:c>
      <x:c r="N23" s="284" t="str">
        <x:v>RPG-M1-W03-02</x:v>
      </x:c>
      <x:c r="O23" s="284" t="str">
        <x:v>E02</x:v>
      </x:c>
      <x:c r="P23" s="284" t="str">
        <x:v>Não iniciada</x:v>
      </x:c>
      <x:c r="Q23" s="296" t="n">
        <x:f>IF(P23="Concluída",1,IF(P23="Em andamento",0.5,IF(P23="Bloqueada",0.25,0)))</x:f>
        <x:v>0</x:v>
      </x:c>
      <x:c r="R23" s="285" t="str">
        <x:v>https://dev.java/learn/</x:v>
      </x:c>
    </x:row>
    <x:row r="24" ht="58" customHeight="1">
      <x:c r="A24" s="283" t="str">
        <x:v>RPG-M1-W03-04</x:v>
      </x:c>
      <x:c r="B24" s="284" t="str">
        <x:v>Mês 1</x:v>
      </x:c>
      <x:c r="C24" s="284" t="str">
        <x:v>Semana 03</x:v>
      </x:c>
      <x:c r="D24" s="290" t="n">
        <x:v>46275</x:v>
      </x:c>
      <x:c r="E24" s="284" t="str">
        <x:v>Núcleo jogável</x:v>
      </x:c>
      <x:c r="F24" s="284" t="str">
        <x:v>Desenvolvimento</x:v>
      </x:c>
      <x:c r="G24" s="284" t="str">
        <x:v>Aplicação</x:v>
      </x:c>
      <x:c r="H24" s="284" t="str">
        <x:v>Criar factory, portas e casos de uso</x:v>
      </x:c>
      <x:c r="I24" s="284" t="str">
        <x:v>Implemente criar, obter e renomear personagem com input/output próprios e porta CharacterRepository.</x:v>
      </x:c>
      <x:c r="J24" s="284" t="str">
        <x:v>Casos de uso não importam web/JPA e retornam erro explícito.</x:v>
      </x:c>
      <x:c r="K24" s="284" t="str">
        <x:v>character/application</x:v>
      </x:c>
      <x:c r="L24" s="284" t="str">
        <x:v>Crítica</x:v>
      </x:c>
      <x:c r="M24" s="293" t="n">
        <x:v>5</x:v>
      </x:c>
      <x:c r="N24" s="284" t="str">
        <x:v>RPG-M1-W03-03</x:v>
      </x:c>
      <x:c r="O24" s="284" t="str">
        <x:v>E02</x:v>
      </x:c>
      <x:c r="P24" s="284" t="str">
        <x:v>Não iniciada</x:v>
      </x:c>
      <x:c r="Q24" s="296" t="n">
        <x:f>IF(P24="Concluída",1,IF(P24="Em andamento",0.5,IF(P24="Bloqueada",0.25,0)))</x:f>
        <x:v>0</x:v>
      </x:c>
      <x:c r="R24" s="285" t="str">
        <x:v>https://www.archunit.org/userguide/html/000_Index.html</x:v>
      </x:c>
    </x:row>
    <x:row r="25" ht="58" customHeight="1">
      <x:c r="A25" s="283" t="str">
        <x:v>RPG-M1-W03-05</x:v>
      </x:c>
      <x:c r="B25" s="284" t="str">
        <x:v>Mês 1</x:v>
      </x:c>
      <x:c r="C25" s="284" t="str">
        <x:v>Semana 03</x:v>
      </x:c>
      <x:c r="D25" s="290" t="n">
        <x:v>46276</x:v>
      </x:c>
      <x:c r="E25" s="284" t="str">
        <x:v>Núcleo jogável</x:v>
      </x:c>
      <x:c r="F25" s="284" t="str">
        <x:v>Testes</x:v>
      </x:c>
      <x:c r="G25" s="284" t="str">
        <x:v>Testes</x:v>
      </x:c>
      <x:c r="H25" s="284" t="str">
        <x:v>Cobrir invariantes do personagem</x:v>
      </x:c>
      <x:c r="I25" s="284" t="str">
        <x:v>Use JUnit e testes parametrizados para nomes, atributos, classes, dano, cura, derrota e renomeação.</x:v>
      </x:c>
      <x:c r="J25" s="284" t="str">
        <x:v>Caminho feliz, erro e limite de cada regra crítica estão cobertos.</x:v>
      </x:c>
      <x:c r="K25" s="284" t="str">
        <x:v>character/domain tests</x:v>
      </x:c>
      <x:c r="L25" s="284" t="str">
        <x:v>Crítica</x:v>
      </x:c>
      <x:c r="M25" s="293" t="n">
        <x:v>4</x:v>
      </x:c>
      <x:c r="N25" s="284" t="str">
        <x:v>RPG-M1-W03-04</x:v>
      </x:c>
      <x:c r="O25" s="284" t="str">
        <x:v>E02</x:v>
      </x:c>
      <x:c r="P25" s="284" t="str">
        <x:v>Não iniciada</x:v>
      </x:c>
      <x:c r="Q25" s="296" t="n">
        <x:f>IF(P25="Concluída",1,IF(P25="Em andamento",0.5,IF(P25="Bloqueada",0.25,0)))</x:f>
        <x:v>0</x:v>
      </x:c>
      <x:c r="R25" s="285" t="str">
        <x:v>https://junit.org/junit5/docs/current/user-guide/</x:v>
      </x:c>
    </x:row>
    <x:row r="26" ht="58" customHeight="1">
      <x:c r="A26" s="283" t="str">
        <x:v>RPG-M1-W03-06</x:v>
      </x:c>
      <x:c r="B26" s="284" t="str">
        <x:v>Mês 1</x:v>
      </x:c>
      <x:c r="C26" s="284" t="str">
        <x:v>Semana 03</x:v>
      </x:c>
      <x:c r="D26" s="290" t="n">
        <x:v>46278</x:v>
      </x:c>
      <x:c r="E26" s="284" t="str">
        <x:v>Núcleo jogável</x:v>
      </x:c>
      <x:c r="F26" s="284" t="str">
        <x:v>Conteúdo</x:v>
      </x:c>
      <x:c r="G26" s="284" t="str">
        <x:v>YouTube</x:v>
      </x:c>
      <x:c r="H26" s="284" t="str">
        <x:v>Produzir Short 3 e capturar episódio 2</x:v>
      </x:c>
      <x:c r="I26" s="284" t="str">
        <x:v>Grave Value Object vs tipo primitivo, factory e testes; salve antes/depois do domínio anêmico.</x:v>
      </x:c>
      <x:c r="J26" s="284" t="str">
        <x:v>Short publicado e pasta do episódio contém gravações nomeadas.</x:v>
      </x:c>
      <x:c r="K26" s="284" t="str">
        <x:v>youtube/ep-02/raw e Short 03</x:v>
      </x:c>
      <x:c r="L26" s="284" t="str">
        <x:v>Média</x:v>
      </x:c>
      <x:c r="M26" s="293" t="n">
        <x:v>3</x:v>
      </x:c>
      <x:c r="N26" s="284" t="str">
        <x:v>RPG-M1-W03-05</x:v>
      </x:c>
      <x:c r="O26" s="284" t="str">
        <x:v>E02</x:v>
      </x:c>
      <x:c r="P26" s="284" t="str">
        <x:v>Não iniciada</x:v>
      </x:c>
      <x:c r="Q26" s="296" t="n">
        <x:f>IF(P26="Concluída",1,IF(P26="Em andamento",0.5,IF(P26="Bloqueada",0.25,0)))</x:f>
        <x:v>0</x:v>
      </x:c>
      <x:c r="R26" s="285" t="str">
        <x:v>https://www.youtube.com/creators/</x:v>
      </x:c>
    </x:row>
    <x:row r="27" ht="58" customHeight="1">
      <x:c r="A27" s="283" t="str">
        <x:v>RPG-M1-W04-01</x:v>
      </x:c>
      <x:c r="B27" s="284" t="str">
        <x:v>Mês 1</x:v>
      </x:c>
      <x:c r="C27" s="284" t="str">
        <x:v>Semana 04</x:v>
      </x:c>
      <x:c r="D27" s="290" t="n">
        <x:v>46279</x:v>
      </x:c>
      <x:c r="E27" s="284" t="str">
        <x:v>Núcleo jogável</x:v>
      </x:c>
      <x:c r="F27" s="284" t="str">
        <x:v>Documentação</x:v>
      </x:c>
      <x:c r="G27" s="284" t="str">
        <x:v>Game design</x:v>
      </x:c>
      <x:c r="H27" s="284" t="str">
        <x:v>Especificar regras de combate</x:v>
      </x:c>
      <x:c r="I27" s="284" t="str">
        <x:v>Defina iniciativa, turnos, ataque, defesa, crítico, habilidade, fuga, vitória, derrota e empate com exemplos numéricos.</x:v>
      </x:c>
      <x:c r="J27" s="284" t="str">
        <x:v>Fórmulas, arredondamentos e casos extremos não possuem ambiguidade.</x:v>
      </x:c>
      <x:c r="K27" s="284" t="str">
        <x:v>docs/game-design/combat.md</x:v>
      </x:c>
      <x:c r="L27" s="284" t="str">
        <x:v>Crítica</x:v>
      </x:c>
      <x:c r="M27" s="293" t="n">
        <x:v>4</x:v>
      </x:c>
      <x:c r="N27" s="284" t="str">
        <x:v>RPG-M1-W03-06</x:v>
      </x:c>
      <x:c r="O27" s="284" t="str">
        <x:v>E02</x:v>
      </x:c>
      <x:c r="P27" s="284" t="str">
        <x:v>Não iniciada</x:v>
      </x:c>
      <x:c r="Q27" s="296" t="n">
        <x:f>IF(P27="Concluída",1,IF(P27="Em andamento",0.5,IF(P27="Bloqueada",0.25,0)))</x:f>
        <x:v>0</x:v>
      </x:c>
      <x:c r="R27" s="285" t="str">
        <x:v>https://docs.github.com/</x:v>
      </x:c>
    </x:row>
    <x:row r="28" ht="58" customHeight="1">
      <x:c r="A28" s="283" t="str">
        <x:v>RPG-M1-W04-02</x:v>
      </x:c>
      <x:c r="B28" s="284" t="str">
        <x:v>Mês 1</x:v>
      </x:c>
      <x:c r="C28" s="284" t="str">
        <x:v>Semana 04</x:v>
      </x:c>
      <x:c r="D28" s="290" t="n">
        <x:v>46280</x:v>
      </x:c>
      <x:c r="E28" s="284" t="str">
        <x:v>Núcleo jogável</x:v>
      </x:c>
      <x:c r="F28" s="284" t="str">
        <x:v>Desenvolvimento</x:v>
      </x:c>
      <x:c r="G28" s="284" t="str">
        <x:v>Combate</x:v>
      </x:c>
      <x:c r="H28" s="284" t="str">
        <x:v>Criar políticas de dano e aleatoriedade</x:v>
      </x:c>
      <x:c r="I28" s="284" t="str">
        <x:v>Separe DamagePolicy e RandomSource; injete seed/fake nos testes e proíba Math.random fora do adapter.</x:v>
      </x:c>
      <x:c r="J28" s="284" t="str">
        <x:v>Mesma semente produz o mesmo histórico e dano nunca fica abaixo do mínimo.</x:v>
      </x:c>
      <x:c r="K28" s="284" t="str">
        <x:v>combat/domain/policy</x:v>
      </x:c>
      <x:c r="L28" s="284" t="str">
        <x:v>Crítica</x:v>
      </x:c>
      <x:c r="M28" s="293" t="n">
        <x:v>5</x:v>
      </x:c>
      <x:c r="N28" s="284" t="str">
        <x:v>RPG-M1-W04-01</x:v>
      </x:c>
      <x:c r="O28" s="284" t="str">
        <x:v>E02</x:v>
      </x:c>
      <x:c r="P28" s="284" t="str">
        <x:v>Não iniciada</x:v>
      </x:c>
      <x:c r="Q28" s="296" t="n">
        <x:f>IF(P28="Concluída",1,IF(P28="Em andamento",0.5,IF(P28="Bloqueada",0.25,0)))</x:f>
        <x:v>0</x:v>
      </x:c>
      <x:c r="R28" s="285" t="str">
        <x:v>https://dev.java/learn/</x:v>
      </x:c>
    </x:row>
    <x:row r="29" ht="58" customHeight="1">
      <x:c r="A29" s="283" t="str">
        <x:v>RPG-M1-W04-03</x:v>
      </x:c>
      <x:c r="B29" s="284" t="str">
        <x:v>Mês 1</x:v>
      </x:c>
      <x:c r="C29" s="284" t="str">
        <x:v>Semana 04</x:v>
      </x:c>
      <x:c r="D29" s="290" t="n">
        <x:v>46281</x:v>
      </x:c>
      <x:c r="E29" s="284" t="str">
        <x:v>Núcleo jogável</x:v>
      </x:c>
      <x:c r="F29" s="284" t="str">
        <x:v>Desenvolvimento</x:v>
      </x:c>
      <x:c r="G29" s="284" t="str">
        <x:v>Combate</x:v>
      </x:c>
      <x:c r="H29" s="284" t="str">
        <x:v>Modelar Battle e Turn</x:v>
      </x:c>
      <x:c r="I29" s="284" t="str">
        <x:v>Crie participantes, rodada, turno atual, estado, histórico e resultado como agregado.</x:v>
      </x:c>
      <x:c r="J29" s="284" t="str">
        <x:v>Só o participante correto age e batalha encerrada é imutável.</x:v>
      </x:c>
      <x:c r="K29" s="284" t="str">
        <x:v>combat/domain/model</x:v>
      </x:c>
      <x:c r="L29" s="284" t="str">
        <x:v>Crítica</x:v>
      </x:c>
      <x:c r="M29" s="293" t="n">
        <x:v>6</x:v>
      </x:c>
      <x:c r="N29" s="284" t="str">
        <x:v>RPG-M1-W04-02</x:v>
      </x:c>
      <x:c r="O29" s="284" t="str">
        <x:v>E02</x:v>
      </x:c>
      <x:c r="P29" s="284" t="str">
        <x:v>Não iniciada</x:v>
      </x:c>
      <x:c r="Q29" s="296" t="n">
        <x:f>IF(P29="Concluída",1,IF(P29="Em andamento",0.5,IF(P29="Bloqueada",0.25,0)))</x:f>
        <x:v>0</x:v>
      </x:c>
      <x:c r="R29" s="285" t="str">
        <x:v>https://dev.java/learn/</x:v>
      </x:c>
    </x:row>
    <x:row r="30" ht="58" customHeight="1">
      <x:c r="A30" s="283" t="str">
        <x:v>RPG-M1-W04-04</x:v>
      </x:c>
      <x:c r="B30" s="284" t="str">
        <x:v>Mês 1</x:v>
      </x:c>
      <x:c r="C30" s="284" t="str">
        <x:v>Semana 04</x:v>
      </x:c>
      <x:c r="D30" s="290" t="n">
        <x:v>46282</x:v>
      </x:c>
      <x:c r="E30" s="284" t="str">
        <x:v>Núcleo jogável</x:v>
      </x:c>
      <x:c r="F30" s="284" t="str">
        <x:v>Desenvolvimento</x:v>
      </x:c>
      <x:c r="G30" s="284" t="str">
        <x:v>Combate</x:v>
      </x:c>
      <x:c r="H30" s="284" t="str">
        <x:v>Implementar ações e efeitos</x:v>
      </x:c>
      <x:c r="I30" s="284" t="str">
        <x:v>Implemente ataque, defesa, habilidade, item, fuga e efeitos poison/stun com duração controlada.</x:v>
      </x:c>
      <x:c r="J30" s="284" t="str">
        <x:v>Cada ação valida custo/alvo e gera evento de batalha auditável.</x:v>
      </x:c>
      <x:c r="K30" s="284" t="str">
        <x:v>combat/domain/action e effect</x:v>
      </x:c>
      <x:c r="L30" s="284" t="str">
        <x:v>Alta</x:v>
      </x:c>
      <x:c r="M30" s="293" t="n">
        <x:v>6</x:v>
      </x:c>
      <x:c r="N30" s="284" t="str">
        <x:v>RPG-M1-W04-03</x:v>
      </x:c>
      <x:c r="O30" s="284" t="str">
        <x:v>E02</x:v>
      </x:c>
      <x:c r="P30" s="284" t="str">
        <x:v>Não iniciada</x:v>
      </x:c>
      <x:c r="Q30" s="296" t="n">
        <x:f>IF(P30="Concluída",1,IF(P30="Em andamento",0.5,IF(P30="Bloqueada",0.25,0)))</x:f>
        <x:v>0</x:v>
      </x:c>
      <x:c r="R30" s="285" t="str">
        <x:v>https://dev.java/learn/</x:v>
      </x:c>
    </x:row>
    <x:row r="31" ht="58" customHeight="1">
      <x:c r="A31" s="283" t="str">
        <x:v>RPG-M1-W04-05</x:v>
      </x:c>
      <x:c r="B31" s="284" t="str">
        <x:v>Mês 1</x:v>
      </x:c>
      <x:c r="C31" s="284" t="str">
        <x:v>Semana 04</x:v>
      </x:c>
      <x:c r="D31" s="290" t="n">
        <x:v>46283</x:v>
      </x:c>
      <x:c r="E31" s="284" t="str">
        <x:v>Núcleo jogável</x:v>
      </x:c>
      <x:c r="F31" s="284" t="str">
        <x:v>Testes</x:v>
      </x:c>
      <x:c r="G31" s="284" t="str">
        <x:v>Testes</x:v>
      </x:c>
      <x:c r="H31" s="284" t="str">
        <x:v>Fechar suíte e release v0.1</x:v>
      </x:c>
      <x:c r="I31" s="284" t="str">
        <x:v>Teste vitória, derrota, crítico, dano mínimo, fuga, turno inválido, cooldown e status; atualize changelog e tag.</x:v>
      </x:c>
      <x:c r="J31" s="284" t="str">
        <x:v>Suite reproduz batalha completa e release v0.1.0 pode ser executada pelo README.</x:v>
      </x:c>
      <x:c r="K31" s="284" t="str">
        <x:v>Tests, CHANGELOG e release v0.1.0</x:v>
      </x:c>
      <x:c r="L31" s="284" t="str">
        <x:v>Crítica</x:v>
      </x:c>
      <x:c r="M31" s="293" t="n">
        <x:v>6</x:v>
      </x:c>
      <x:c r="N31" s="284" t="str">
        <x:v>RPG-M1-W04-04</x:v>
      </x:c>
      <x:c r="O31" s="284" t="str">
        <x:v>E02</x:v>
      </x:c>
      <x:c r="P31" s="284" t="str">
        <x:v>Não iniciada</x:v>
      </x:c>
      <x:c r="Q31" s="296" t="n">
        <x:f>IF(P31="Concluída",1,IF(P31="Em andamento",0.5,IF(P31="Bloqueada",0.25,0)))</x:f>
        <x:v>0</x:v>
      </x:c>
      <x:c r="R31" s="285" t="str">
        <x:v>https://junit.org/junit5/docs/current/user-guide/</x:v>
      </x:c>
    </x:row>
    <x:row r="32" ht="58" customHeight="1">
      <x:c r="A32" s="283" t="str">
        <x:v>RPG-M1-W04-06</x:v>
      </x:c>
      <x:c r="B32" s="284" t="str">
        <x:v>Mês 1</x:v>
      </x:c>
      <x:c r="C32" s="284" t="str">
        <x:v>Semana 04</x:v>
      </x:c>
      <x:c r="D32" s="290" t="n">
        <x:v>46285</x:v>
      </x:c>
      <x:c r="E32" s="284" t="str">
        <x:v>Núcleo jogável</x:v>
      </x:c>
      <x:c r="F32" s="284" t="str">
        <x:v>Conteúdo</x:v>
      </x:c>
      <x:c r="G32" s="284" t="str">
        <x:v>YouTube</x:v>
      </x:c>
      <x:c r="H32" s="284" t="str">
        <x:v>Publicar episódio 2</x:v>
      </x:c>
      <x:c r="I32" s="284" t="str">
        <x:v>Conte a evolução do domínio anêmico para Character e Battle ricos; mostre testes determinísticos e demo final.</x:v>
      </x:c>
      <x:c r="J32" s="284" t="str">
        <x:v>Vídeo publicado com capítulos, thumbnail e link para v0.1.0.</x:v>
      </x:c>
      <x:c r="K32" s="284" t="str">
        <x:v>Episódio 2 publicado</x:v>
      </x:c>
      <x:c r="L32" s="284" t="str">
        <x:v>Alta</x:v>
      </x:c>
      <x:c r="M32" s="293" t="n">
        <x:v>4</x:v>
      </x:c>
      <x:c r="N32" s="284" t="str">
        <x:v>RPG-M1-W04-05</x:v>
      </x:c>
      <x:c r="O32" s="284" t="str">
        <x:v>E02</x:v>
      </x:c>
      <x:c r="P32" s="284" t="str">
        <x:v>Não iniciada</x:v>
      </x:c>
      <x:c r="Q32" s="296" t="n">
        <x:f>IF(P32="Concluída",1,IF(P32="Em andamento",0.5,IF(P32="Bloqueada",0.25,0)))</x:f>
        <x:v>0</x:v>
      </x:c>
      <x:c r="R32" s="285" t="str">
        <x:v>https://www.youtube.com/creators/</x:v>
      </x:c>
    </x:row>
    <x:row r="33" ht="58" customHeight="1">
      <x:c r="A33" s="283" t="str">
        <x:v>RPG-M2-W05-01</x:v>
      </x:c>
      <x:c r="B33" s="284" t="str">
        <x:v>Mês 2</x:v>
      </x:c>
      <x:c r="C33" s="284" t="str">
        <x:v>Semana 05</x:v>
      </x:c>
      <x:c r="D33" s="290" t="n">
        <x:v>46286</x:v>
      </x:c>
      <x:c r="E33" s="284" t="str">
        <x:v>Persistência e progressão</x:v>
      </x:c>
      <x:c r="F33" s="284" t="str">
        <x:v>Banco de dados</x:v>
      </x:c>
      <x:c r="G33" s="284" t="str">
        <x:v>Banco</x:v>
      </x:c>
      <x:c r="H33" s="284" t="str">
        <x:v>Desenhar modelo relacional</x:v>
      </x:c>
      <x:c r="I33" s="284" t="str">
        <x:v>Mapeie account, character, stats, battle e battle_event; defina PK, FK, unique, checks e índices iniciais.</x:v>
      </x:c>
      <x:c r="J33" s="284" t="str">
        <x:v>ERD corresponde aos agregados e cada constraint tem justificativa.</x:v>
      </x:c>
      <x:c r="K33" s="284" t="str">
        <x:v>docs/database/erd-v1.drawio e PNG</x:v>
      </x:c>
      <x:c r="L33" s="284" t="str">
        <x:v>Crítica</x:v>
      </x:c>
      <x:c r="M33" s="293" t="n">
        <x:v>5</x:v>
      </x:c>
      <x:c r="N33" s="284" t="str">
        <x:v>RPG-M1-W04-06</x:v>
      </x:c>
      <x:c r="O33" s="284" t="str">
        <x:v>E03</x:v>
      </x:c>
      <x:c r="P33" s="284" t="str">
        <x:v>Não iniciada</x:v>
      </x:c>
      <x:c r="Q33" s="296" t="n">
        <x:f>IF(P33="Concluída",1,IF(P33="Em andamento",0.5,IF(P33="Bloqueada",0.25,0)))</x:f>
        <x:v>0</x:v>
      </x:c>
      <x:c r="R33" s="285" t="str">
        <x:v>https://www.postgresql.org/docs/current/</x:v>
      </x:c>
    </x:row>
    <x:row r="34" ht="58" customHeight="1">
      <x:c r="A34" s="283" t="str">
        <x:v>RPG-M2-W05-02</x:v>
      </x:c>
      <x:c r="B34" s="284" t="str">
        <x:v>Mês 2</x:v>
      </x:c>
      <x:c r="C34" s="284" t="str">
        <x:v>Semana 05</x:v>
      </x:c>
      <x:c r="D34" s="290" t="n">
        <x:v>46287</x:v>
      </x:c>
      <x:c r="E34" s="284" t="str">
        <x:v>Persistência e progressão</x:v>
      </x:c>
      <x:c r="F34" s="284" t="str">
        <x:v>Banco de dados</x:v>
      </x:c>
      <x:c r="G34" s="284" t="str">
        <x:v>Migrations</x:v>
      </x:c>
      <x:c r="H34" s="284" t="str">
        <x:v>Criar baseline Flyway</x:v>
      </x:c>
      <x:c r="I34" s="284" t="str">
        <x:v>Crie schema e migrations V1-V3 para personagens e batalhas; mantenha scripts imutáveis após aplicação.</x:v>
      </x:c>
      <x:c r="J34" s="284" t="str">
        <x:v>Banco vazio chega ao schema atual apenas ao iniciar a aplicação.</x:v>
      </x:c>
      <x:c r="K34" s="284" t="str">
        <x:v>src/main/resources/db/migration</x:v>
      </x:c>
      <x:c r="L34" s="284" t="str">
        <x:v>Crítica</x:v>
      </x:c>
      <x:c r="M34" s="293" t="n">
        <x:v>5</x:v>
      </x:c>
      <x:c r="N34" s="284" t="str">
        <x:v>RPG-M2-W05-01</x:v>
      </x:c>
      <x:c r="O34" s="284" t="str">
        <x:v>E03</x:v>
      </x:c>
      <x:c r="P34" s="284" t="str">
        <x:v>Não iniciada</x:v>
      </x:c>
      <x:c r="Q34" s="296" t="n">
        <x:f>IF(P34="Concluída",1,IF(P34="Em andamento",0.5,IF(P34="Bloqueada",0.25,0)))</x:f>
        <x:v>0</x:v>
      </x:c>
      <x:c r="R34" s="285" t="str">
        <x:v>https://documentation.red-gate.com/fd</x:v>
      </x:c>
    </x:row>
    <x:row r="35" ht="58" customHeight="1">
      <x:c r="A35" s="283" t="str">
        <x:v>RPG-M2-W05-03</x:v>
      </x:c>
      <x:c r="B35" s="284" t="str">
        <x:v>Mês 2</x:v>
      </x:c>
      <x:c r="C35" s="284" t="str">
        <x:v>Semana 05</x:v>
      </x:c>
      <x:c r="D35" s="290" t="n">
        <x:v>46288</x:v>
      </x:c>
      <x:c r="E35" s="284" t="str">
        <x:v>Persistência e progressão</x:v>
      </x:c>
      <x:c r="F35" s="284" t="str">
        <x:v>Desenvolvimento</x:v>
      </x:c>
      <x:c r="G35" s="284" t="str">
        <x:v>Persistência</x:v>
      </x:c>
      <x:c r="H35" s="284" t="str">
        <x:v>Mapear entidades JPA</x:v>
      </x:c>
      <x:c r="I35" s="284" t="str">
        <x:v>Crie modelos de persistência e mappers separados das entidades de domínio; configure UUID, version e timestamps.</x:v>
      </x:c>
      <x:c r="J35" s="284" t="str">
        <x:v>O pacote domain não importa jakarta.persistence e round-trip mantém dados.</x:v>
      </x:c>
      <x:c r="K35" s="284" t="str">
        <x:v>character/combat infrastructure persistence</x:v>
      </x:c>
      <x:c r="L35" s="284" t="str">
        <x:v>Crítica</x:v>
      </x:c>
      <x:c r="M35" s="293" t="n">
        <x:v>6</x:v>
      </x:c>
      <x:c r="N35" s="284" t="str">
        <x:v>RPG-M2-W05-02</x:v>
      </x:c>
      <x:c r="O35" s="284" t="str">
        <x:v>E03</x:v>
      </x:c>
      <x:c r="P35" s="284" t="str">
        <x:v>Não iniciada</x:v>
      </x:c>
      <x:c r="Q35" s="296" t="n">
        <x:f>IF(P35="Concluída",1,IF(P35="Em andamento",0.5,IF(P35="Bloqueada",0.25,0)))</x:f>
        <x:v>0</x:v>
      </x:c>
      <x:c r="R35" s="285" t="str">
        <x:v>https://docs.spring.io/spring-data/jpa/reference/</x:v>
      </x:c>
    </x:row>
    <x:row r="36" ht="58" customHeight="1">
      <x:c r="A36" s="283" t="str">
        <x:v>RPG-M2-W05-04</x:v>
      </x:c>
      <x:c r="B36" s="284" t="str">
        <x:v>Mês 2</x:v>
      </x:c>
      <x:c r="C36" s="284" t="str">
        <x:v>Semana 05</x:v>
      </x:c>
      <x:c r="D36" s="290" t="n">
        <x:v>46289</x:v>
      </x:c>
      <x:c r="E36" s="284" t="str">
        <x:v>Persistência e progressão</x:v>
      </x:c>
      <x:c r="F36" s="284" t="str">
        <x:v>Desenvolvimento</x:v>
      </x:c>
      <x:c r="G36" s="284" t="str">
        <x:v>Persistência</x:v>
      </x:c>
      <x:c r="H36" s="284" t="str">
        <x:v>Implementar adapters de repositório</x:v>
      </x:c>
      <x:c r="I36" s="284" t="str">
        <x:v>Implemente portas com Spring Data internamente; trate not found, unique e lock sem vazar DataAccessException.</x:v>
      </x:c>
      <x:c r="J36" s="284" t="str">
        <x:v>Casos de uso trabalham somente com interfaces do domínio/aplicação.</x:v>
      </x:c>
      <x:c r="K36" s="284" t="str">
        <x:v>Repository adapters</x:v>
      </x:c>
      <x:c r="L36" s="284" t="str">
        <x:v>Alta</x:v>
      </x:c>
      <x:c r="M36" s="293" t="n">
        <x:v>5</x:v>
      </x:c>
      <x:c r="N36" s="284" t="str">
        <x:v>RPG-M2-W05-03</x:v>
      </x:c>
      <x:c r="O36" s="284" t="str">
        <x:v>E03</x:v>
      </x:c>
      <x:c r="P36" s="284" t="str">
        <x:v>Não iniciada</x:v>
      </x:c>
      <x:c r="Q36" s="296" t="n">
        <x:f>IF(P36="Concluída",1,IF(P36="Em andamento",0.5,IF(P36="Bloqueada",0.25,0)))</x:f>
        <x:v>0</x:v>
      </x:c>
      <x:c r="R36" s="285" t="str">
        <x:v>https://docs.spring.io/spring-data/jpa/reference/</x:v>
      </x:c>
    </x:row>
    <x:row r="37" ht="58" customHeight="1">
      <x:c r="A37" s="283" t="str">
        <x:v>RPG-M2-W05-05</x:v>
      </x:c>
      <x:c r="B37" s="284" t="str">
        <x:v>Mês 2</x:v>
      </x:c>
      <x:c r="C37" s="284" t="str">
        <x:v>Semana 05</x:v>
      </x:c>
      <x:c r="D37" s="290" t="n">
        <x:v>46290</x:v>
      </x:c>
      <x:c r="E37" s="284" t="str">
        <x:v>Persistência e progressão</x:v>
      </x:c>
      <x:c r="F37" s="284" t="str">
        <x:v>Testes</x:v>
      </x:c>
      <x:c r="G37" s="284" t="str">
        <x:v>Testes</x:v>
      </x:c>
      <x:c r="H37" s="284" t="str">
        <x:v>Testar com PostgreSQL real</x:v>
      </x:c>
      <x:c r="I37" s="284" t="str">
        <x:v>Use Testcontainers para migrations, save/load, constraints, versionamento e consultas de histórico.</x:v>
      </x:c>
      <x:c r="J37" s="284" t="str">
        <x:v>Testes não usam H2 e executam localmente e no CI.</x:v>
      </x:c>
      <x:c r="K37" s="284" t="str">
        <x:v>Persistence integration tests</x:v>
      </x:c>
      <x:c r="L37" s="284" t="str">
        <x:v>Crítica</x:v>
      </x:c>
      <x:c r="M37" s="293" t="n">
        <x:v>5</x:v>
      </x:c>
      <x:c r="N37" s="284" t="str">
        <x:v>RPG-M2-W05-04</x:v>
      </x:c>
      <x:c r="O37" s="284" t="str">
        <x:v>E03</x:v>
      </x:c>
      <x:c r="P37" s="284" t="str">
        <x:v>Não iniciada</x:v>
      </x:c>
      <x:c r="Q37" s="296" t="n">
        <x:f>IF(P37="Concluída",1,IF(P37="Em andamento",0.5,IF(P37="Bloqueada",0.25,0)))</x:f>
        <x:v>0</x:v>
      </x:c>
      <x:c r="R37" s="285" t="str">
        <x:v>https://java.testcontainers.org/</x:v>
      </x:c>
    </x:row>
    <x:row r="38" ht="58" customHeight="1">
      <x:c r="A38" s="283" t="str">
        <x:v>RPG-M2-W05-06</x:v>
      </x:c>
      <x:c r="B38" s="284" t="str">
        <x:v>Mês 2</x:v>
      </x:c>
      <x:c r="C38" s="284" t="str">
        <x:v>Semana 05</x:v>
      </x:c>
      <x:c r="D38" s="290" t="n">
        <x:v>46292</x:v>
      </x:c>
      <x:c r="E38" s="284" t="str">
        <x:v>Persistência e progressão</x:v>
      </x:c>
      <x:c r="F38" s="284" t="str">
        <x:v>Conteúdo</x:v>
      </x:c>
      <x:c r="G38" s="284" t="str">
        <x:v>YouTube</x:v>
      </x:c>
      <x:c r="H38" s="284" t="str">
        <x:v>Produzir Short 5 e capturar episódio 3</x:v>
      </x:c>
      <x:c r="I38" s="284" t="str">
        <x:v>Mostre por que não expor JPA no domínio, migration real e banco nascendo do zero.</x:v>
      </x:c>
      <x:c r="J38" s="284" t="str">
        <x:v>Short publicado e gravações de migration/repository separadas por cena.</x:v>
      </x:c>
      <x:c r="K38" s="284" t="str">
        <x:v>youtube/ep-03/raw e Short 05</x:v>
      </x:c>
      <x:c r="L38" s="284" t="str">
        <x:v>Média</x:v>
      </x:c>
      <x:c r="M38" s="293" t="n">
        <x:v>3</x:v>
      </x:c>
      <x:c r="N38" s="284" t="str">
        <x:v>RPG-M2-W05-05</x:v>
      </x:c>
      <x:c r="O38" s="284" t="str">
        <x:v>E03</x:v>
      </x:c>
      <x:c r="P38" s="284" t="str">
        <x:v>Não iniciada</x:v>
      </x:c>
      <x:c r="Q38" s="296" t="n">
        <x:f>IF(P38="Concluída",1,IF(P38="Em andamento",0.5,IF(P38="Bloqueada",0.25,0)))</x:f>
        <x:v>0</x:v>
      </x:c>
      <x:c r="R38" s="285" t="str">
        <x:v>https://www.youtube.com/creators/</x:v>
      </x:c>
    </x:row>
    <x:row r="39" ht="58" customHeight="1">
      <x:c r="A39" s="283" t="str">
        <x:v>RPG-M2-W06-01</x:v>
      </x:c>
      <x:c r="B39" s="284" t="str">
        <x:v>Mês 2</x:v>
      </x:c>
      <x:c r="C39" s="284" t="str">
        <x:v>Semana 06</x:v>
      </x:c>
      <x:c r="D39" s="290" t="n">
        <x:v>46293</x:v>
      </x:c>
      <x:c r="E39" s="284" t="str">
        <x:v>Persistência e progressão</x:v>
      </x:c>
      <x:c r="F39" s="284" t="str">
        <x:v>Desenvolvimento</x:v>
      </x:c>
      <x:c r="G39" s="284" t="str">
        <x:v>Itens</x:v>
      </x:c>
      <x:c r="H39" s="284" t="str">
        <x:v>Modelar catálogo de itens</x:v>
      </x:c>
      <x:c r="I39" s="284" t="str">
        <x:v>Crie ItemDefinition para arma, armadura, consumível e material com raridade, preço, efeito e restrições.</x:v>
      </x:c>
      <x:c r="J39" s="284" t="str">
        <x:v>Tipos inválidos não são instanciados e catálogo é separado da posse.</x:v>
      </x:c>
      <x:c r="K39" s="284" t="str">
        <x:v>inventory/domain/item</x:v>
      </x:c>
      <x:c r="L39" s="284" t="str">
        <x:v>Alta</x:v>
      </x:c>
      <x:c r="M39" s="293" t="n">
        <x:v>5</x:v>
      </x:c>
      <x:c r="N39" s="284" t="str">
        <x:v>RPG-M2-W05-06</x:v>
      </x:c>
      <x:c r="O39" s="284" t="str">
        <x:v>E03</x:v>
      </x:c>
      <x:c r="P39" s="284" t="str">
        <x:v>Não iniciada</x:v>
      </x:c>
      <x:c r="Q39" s="296" t="n">
        <x:f>IF(P39="Concluída",1,IF(P39="Em andamento",0.5,IF(P39="Bloqueada",0.25,0)))</x:f>
        <x:v>0</x:v>
      </x:c>
      <x:c r="R39" s="285" t="str">
        <x:v>https://dev.java/learn/</x:v>
      </x:c>
    </x:row>
    <x:row r="40" ht="58" customHeight="1">
      <x:c r="A40" s="283" t="str">
        <x:v>RPG-M2-W06-02</x:v>
      </x:c>
      <x:c r="B40" s="284" t="str">
        <x:v>Mês 2</x:v>
      </x:c>
      <x:c r="C40" s="284" t="str">
        <x:v>Semana 06</x:v>
      </x:c>
      <x:c r="D40" s="290" t="n">
        <x:v>46294</x:v>
      </x:c>
      <x:c r="E40" s="284" t="str">
        <x:v>Persistência e progressão</x:v>
      </x:c>
      <x:c r="F40" s="284" t="str">
        <x:v>Desenvolvimento</x:v>
      </x:c>
      <x:c r="G40" s="284" t="str">
        <x:v>Inventário</x:v>
      </x:c>
      <x:c r="H40" s="284" t="str">
        <x:v>Implementar slots e pilhas</x:v>
      </x:c>
      <x:c r="I40" s="284" t="str">
        <x:v>Controle capacidade, stack size, adicionar, remover, transferir e consumir sem quantidade negativa.</x:v>
      </x:c>
      <x:c r="J40" s="284" t="str">
        <x:v>Excesso de capacidade e item inexistente retornam erro de domínio sem alterar estado.</x:v>
      </x:c>
      <x:c r="K40" s="284" t="str">
        <x:v>inventory/domain/inventory</x:v>
      </x:c>
      <x:c r="L40" s="284" t="str">
        <x:v>Crítica</x:v>
      </x:c>
      <x:c r="M40" s="293" t="n">
        <x:v>6</x:v>
      </x:c>
      <x:c r="N40" s="284" t="str">
        <x:v>RPG-M2-W06-01</x:v>
      </x:c>
      <x:c r="O40" s="284" t="str">
        <x:v>E03</x:v>
      </x:c>
      <x:c r="P40" s="284" t="str">
        <x:v>Não iniciada</x:v>
      </x:c>
      <x:c r="Q40" s="296" t="n">
        <x:f>IF(P40="Concluída",1,IF(P40="Em andamento",0.5,IF(P40="Bloqueada",0.25,0)))</x:f>
        <x:v>0</x:v>
      </x:c>
      <x:c r="R40" s="285" t="str">
        <x:v>https://dev.java/learn/</x:v>
      </x:c>
    </x:row>
    <x:row r="41" ht="58" customHeight="1">
      <x:c r="A41" s="283" t="str">
        <x:v>RPG-M2-W06-03</x:v>
      </x:c>
      <x:c r="B41" s="284" t="str">
        <x:v>Mês 2</x:v>
      </x:c>
      <x:c r="C41" s="284" t="str">
        <x:v>Semana 06</x:v>
      </x:c>
      <x:c r="D41" s="290" t="n">
        <x:v>46295</x:v>
      </x:c>
      <x:c r="E41" s="284" t="str">
        <x:v>Persistência e progressão</x:v>
      </x:c>
      <x:c r="F41" s="284" t="str">
        <x:v>Desenvolvimento</x:v>
      </x:c>
      <x:c r="G41" s="284" t="str">
        <x:v>Equipamento</x:v>
      </x:c>
      <x:c r="H41" s="284" t="str">
        <x:v>Implementar equipar e desequipar</x:v>
      </x:c>
      <x:c r="I41" s="284" t="str">
        <x:v>Valide slot, classe e nível; calcule atributos derivados e preserve o item anterior se falhar.</x:v>
      </x:c>
      <x:c r="J41" s="284" t="str">
        <x:v>Equipamento muda apenas stats derivados e rollback lógico mantém consistência.</x:v>
      </x:c>
      <x:c r="K41" s="284" t="str">
        <x:v>inventory/domain/equipment</x:v>
      </x:c>
      <x:c r="L41" s="284" t="str">
        <x:v>Alta</x:v>
      </x:c>
      <x:c r="M41" s="293" t="n">
        <x:v>5</x:v>
      </x:c>
      <x:c r="N41" s="284" t="str">
        <x:v>RPG-M2-W06-02</x:v>
      </x:c>
      <x:c r="O41" s="284" t="str">
        <x:v>E03</x:v>
      </x:c>
      <x:c r="P41" s="284" t="str">
        <x:v>Não iniciada</x:v>
      </x:c>
      <x:c r="Q41" s="296" t="n">
        <x:f>IF(P41="Concluída",1,IF(P41="Em andamento",0.5,IF(P41="Bloqueada",0.25,0)))</x:f>
        <x:v>0</x:v>
      </x:c>
      <x:c r="R41" s="285" t="str">
        <x:v>https://junit.org/junit5/docs/current/user-guide/</x:v>
      </x:c>
    </x:row>
    <x:row r="42" ht="58" customHeight="1">
      <x:c r="A42" s="283" t="str">
        <x:v>RPG-M2-W06-04</x:v>
      </x:c>
      <x:c r="B42" s="284" t="str">
        <x:v>Mês 2</x:v>
      </x:c>
      <x:c r="C42" s="284" t="str">
        <x:v>Semana 06</x:v>
      </x:c>
      <x:c r="D42" s="290" t="n">
        <x:v>46296</x:v>
      </x:c>
      <x:c r="E42" s="284" t="str">
        <x:v>Persistência e progressão</x:v>
      </x:c>
      <x:c r="F42" s="284" t="str">
        <x:v>Desenvolvimento</x:v>
      </x:c>
      <x:c r="G42" s="284" t="str">
        <x:v>Loot</x:v>
      </x:c>
      <x:c r="H42" s="284" t="str">
        <x:v>Criar tabela de recompensas</x:v>
      </x:c>
      <x:c r="I42" s="284" t="str">
        <x:v>Modele peso, raridade e quantidade com RandomSource; valide pesos e permita seed nos testes.</x:v>
      </x:c>
      <x:c r="J42" s="284" t="str">
        <x:v>Distribuição é reproduzível e configuração inválida falha cedo.</x:v>
      </x:c>
      <x:c r="K42" s="284" t="str">
        <x:v>inventory/domain/loot</x:v>
      </x:c>
      <x:c r="L42" s="284" t="str">
        <x:v>Alta</x:v>
      </x:c>
      <x:c r="M42" s="293" t="n">
        <x:v>4</x:v>
      </x:c>
      <x:c r="N42" s="284" t="str">
        <x:v>RPG-M2-W06-03</x:v>
      </x:c>
      <x:c r="O42" s="284" t="str">
        <x:v>E03</x:v>
      </x:c>
      <x:c r="P42" s="284" t="str">
        <x:v>Não iniciada</x:v>
      </x:c>
      <x:c r="Q42" s="296" t="n">
        <x:f>IF(P42="Concluída",1,IF(P42="Em andamento",0.5,IF(P42="Bloqueada",0.25,0)))</x:f>
        <x:v>0</x:v>
      </x:c>
      <x:c r="R42" s="285" t="str">
        <x:v>https://junit.org/junit5/docs/current/user-guide/</x:v>
      </x:c>
    </x:row>
    <x:row r="43" ht="58" customHeight="1">
      <x:c r="A43" s="283" t="str">
        <x:v>RPG-M2-W06-05</x:v>
      </x:c>
      <x:c r="B43" s="284" t="str">
        <x:v>Mês 2</x:v>
      </x:c>
      <x:c r="C43" s="284" t="str">
        <x:v>Semana 06</x:v>
      </x:c>
      <x:c r="D43" s="290" t="n">
        <x:v>46297</x:v>
      </x:c>
      <x:c r="E43" s="284" t="str">
        <x:v>Persistência e progressão</x:v>
      </x:c>
      <x:c r="F43" s="284" t="str">
        <x:v>Testes</x:v>
      </x:c>
      <x:c r="G43" s="284" t="str">
        <x:v>Transações</x:v>
      </x:c>
      <x:c r="H43" s="284" t="str">
        <x:v>Persistir e testar concorrência</x:v>
      </x:c>
      <x:c r="I43" s="284" t="str">
        <x:v>Faça loot, inventário e equipamento em transações; use optimistic locking e simule duas atualizações simultâneas.</x:v>
      </x:c>
      <x:c r="J43" s="284" t="str">
        <x:v>Uma falha não deixa estado parcial e conflito vira resposta de negócio controlada.</x:v>
      </x:c>
      <x:c r="K43" s="284" t="str">
        <x:v>Migrations e integration tests</x:v>
      </x:c>
      <x:c r="L43" s="284" t="str">
        <x:v>Crítica</x:v>
      </x:c>
      <x:c r="M43" s="293" t="n">
        <x:v>7</x:v>
      </x:c>
      <x:c r="N43" s="284" t="str">
        <x:v>RPG-M2-W06-04</x:v>
      </x:c>
      <x:c r="O43" s="284" t="str">
        <x:v>E03</x:v>
      </x:c>
      <x:c r="P43" s="284" t="str">
        <x:v>Não iniciada</x:v>
      </x:c>
      <x:c r="Q43" s="296" t="n">
        <x:f>IF(P43="Concluída",1,IF(P43="Em andamento",0.5,IF(P43="Bloqueada",0.25,0)))</x:f>
        <x:v>0</x:v>
      </x:c>
      <x:c r="R43" s="285" t="str">
        <x:v>https://www.postgresql.org/docs/current/</x:v>
      </x:c>
    </x:row>
    <x:row r="44" ht="58" customHeight="1">
      <x:c r="A44" s="283" t="str">
        <x:v>RPG-M2-W06-06</x:v>
      </x:c>
      <x:c r="B44" s="284" t="str">
        <x:v>Mês 2</x:v>
      </x:c>
      <x:c r="C44" s="284" t="str">
        <x:v>Semana 06</x:v>
      </x:c>
      <x:c r="D44" s="290" t="n">
        <x:v>46299</x:v>
      </x:c>
      <x:c r="E44" s="284" t="str">
        <x:v>Persistência e progressão</x:v>
      </x:c>
      <x:c r="F44" s="284" t="str">
        <x:v>Conteúdo</x:v>
      </x:c>
      <x:c r="G44" s="284" t="str">
        <x:v>YouTube</x:v>
      </x:c>
      <x:c r="H44" s="284" t="str">
        <x:v>Publicar episódio 3</x:v>
      </x:c>
      <x:c r="I44" s="284" t="str">
        <x:v>Mostre PostgreSQL, Flyway, mapeamento, transação e teste concorrente do inventário.</x:v>
      </x:c>
      <x:c r="J44" s="284" t="str">
        <x:v>Vídeo publicado com demo de rollback e link para PRs.</x:v>
      </x:c>
      <x:c r="K44" s="284" t="str">
        <x:v>Episódio 3 publicado</x:v>
      </x:c>
      <x:c r="L44" s="284" t="str">
        <x:v>Alta</x:v>
      </x:c>
      <x:c r="M44" s="293" t="n">
        <x:v>4</x:v>
      </x:c>
      <x:c r="N44" s="284" t="str">
        <x:v>RPG-M2-W06-05</x:v>
      </x:c>
      <x:c r="O44" s="284" t="str">
        <x:v>E03</x:v>
      </x:c>
      <x:c r="P44" s="284" t="str">
        <x:v>Não iniciada</x:v>
      </x:c>
      <x:c r="Q44" s="296" t="n">
        <x:f>IF(P44="Concluída",1,IF(P44="Em andamento",0.5,IF(P44="Bloqueada",0.25,0)))</x:f>
        <x:v>0</x:v>
      </x:c>
      <x:c r="R44" s="285" t="str">
        <x:v>https://www.youtube.com/creators/</x:v>
      </x:c>
    </x:row>
    <x:row r="45" ht="58" customHeight="1">
      <x:c r="A45" s="283" t="str">
        <x:v>RPG-M2-W07-01</x:v>
      </x:c>
      <x:c r="B45" s="284" t="str">
        <x:v>Mês 2</x:v>
      </x:c>
      <x:c r="C45" s="284" t="str">
        <x:v>Semana 07</x:v>
      </x:c>
      <x:c r="D45" s="290" t="n">
        <x:v>46300</x:v>
      </x:c>
      <x:c r="E45" s="284" t="str">
        <x:v>Persistência e progressão</x:v>
      </x:c>
      <x:c r="F45" s="284" t="str">
        <x:v>Documentação</x:v>
      </x:c>
      <x:c r="G45" s="284" t="str">
        <x:v>Progressão</x:v>
      </x:c>
      <x:c r="H45" s="284" t="str">
        <x:v>Definir curva de experiência</x:v>
      </x:c>
      <x:c r="I45" s="284" t="str">
        <x:v>Documente XP por nível, limite, excesso e atributos ganhos por classe; gere exemplos até o nível 20.</x:v>
      </x:c>
      <x:c r="J45" s="284" t="str">
        <x:v>A curva é calculável, monotônica e possui tabela de referência.</x:v>
      </x:c>
      <x:c r="K45" s="284" t="str">
        <x:v>docs/game-design/progression.md</x:v>
      </x:c>
      <x:c r="L45" s="284" t="str">
        <x:v>Alta</x:v>
      </x:c>
      <x:c r="M45" s="293" t="n">
        <x:v>4</x:v>
      </x:c>
      <x:c r="N45" s="284" t="str">
        <x:v>RPG-M2-W06-06</x:v>
      </x:c>
      <x:c r="O45" s="284" t="str">
        <x:v>E04</x:v>
      </x:c>
      <x:c r="P45" s="284" t="str">
        <x:v>Não iniciada</x:v>
      </x:c>
      <x:c r="Q45" s="296" t="n">
        <x:f>IF(P45="Concluída",1,IF(P45="Em andamento",0.5,IF(P45="Bloqueada",0.25,0)))</x:f>
        <x:v>0</x:v>
      </x:c>
      <x:c r="R45" s="285" t="str">
        <x:v>https://dev.java/learn/</x:v>
      </x:c>
    </x:row>
    <x:row r="46" ht="58" customHeight="1">
      <x:c r="A46" s="283" t="str">
        <x:v>RPG-M2-W07-02</x:v>
      </x:c>
      <x:c r="B46" s="284" t="str">
        <x:v>Mês 2</x:v>
      </x:c>
      <x:c r="C46" s="284" t="str">
        <x:v>Semana 07</x:v>
      </x:c>
      <x:c r="D46" s="290" t="n">
        <x:v>46301</x:v>
      </x:c>
      <x:c r="E46" s="284" t="str">
        <x:v>Persistência e progressão</x:v>
      </x:c>
      <x:c r="F46" s="284" t="str">
        <x:v>Desenvolvimento</x:v>
      </x:c>
      <x:c r="G46" s="284" t="str">
        <x:v>Progressão</x:v>
      </x:c>
      <x:c r="H46" s="284" t="str">
        <x:v>Implementar ganho de XP</x:v>
      </x:c>
      <x:c r="I46" s="284" t="str">
        <x:v>Permita vários level ups em uma recompensa; atualize stats e recursos pela política da classe.</x:v>
      </x:c>
      <x:c r="J46" s="284" t="str">
        <x:v>XP não se perde, limite máximo é respeitado e múltiplos níveis têm teste.</x:v>
      </x:c>
      <x:c r="K46" s="284" t="str">
        <x:v>progression/domain</x:v>
      </x:c>
      <x:c r="L46" s="284" t="str">
        <x:v>Crítica</x:v>
      </x:c>
      <x:c r="M46" s="293" t="n">
        <x:v>5</x:v>
      </x:c>
      <x:c r="N46" s="284" t="str">
        <x:v>RPG-M2-W07-01</x:v>
      </x:c>
      <x:c r="O46" s="284" t="str">
        <x:v>E04</x:v>
      </x:c>
      <x:c r="P46" s="284" t="str">
        <x:v>Não iniciada</x:v>
      </x:c>
      <x:c r="Q46" s="296" t="n">
        <x:f>IF(P46="Concluída",1,IF(P46="Em andamento",0.5,IF(P46="Bloqueada",0.25,0)))</x:f>
        <x:v>0</x:v>
      </x:c>
      <x:c r="R46" s="285" t="str">
        <x:v>https://dev.java/learn/</x:v>
      </x:c>
    </x:row>
    <x:row r="47" ht="58" customHeight="1">
      <x:c r="A47" s="283" t="str">
        <x:v>RPG-M2-W07-03</x:v>
      </x:c>
      <x:c r="B47" s="284" t="str">
        <x:v>Mês 2</x:v>
      </x:c>
      <x:c r="C47" s="284" t="str">
        <x:v>Semana 07</x:v>
      </x:c>
      <x:c r="D47" s="290" t="n">
        <x:v>46302</x:v>
      </x:c>
      <x:c r="E47" s="284" t="str">
        <x:v>Persistência e progressão</x:v>
      </x:c>
      <x:c r="F47" s="284" t="str">
        <x:v>Desenvolvimento</x:v>
      </x:c>
      <x:c r="G47" s="284" t="str">
        <x:v>Habilidades</x:v>
      </x:c>
      <x:c r="H47" s="284" t="str">
        <x:v>Modelar habilidades</x:v>
      </x:c>
      <x:c r="I47" s="284" t="str">
        <x:v>Crie SkillDefinition, custo, alvo, efeito, cooldown e pré-requisitos de classe/nível.</x:v>
      </x:c>
      <x:c r="J47" s="284" t="str">
        <x:v>Uso inelegível não gasta recurso e explica a regra violada.</x:v>
      </x:c>
      <x:c r="K47" s="284" t="str">
        <x:v>skill/domain</x:v>
      </x:c>
      <x:c r="L47" s="284" t="str">
        <x:v>Alta</x:v>
      </x:c>
      <x:c r="M47" s="293" t="n">
        <x:v>6</x:v>
      </x:c>
      <x:c r="N47" s="284" t="str">
        <x:v>RPG-M2-W07-02</x:v>
      </x:c>
      <x:c r="O47" s="284" t="str">
        <x:v>E04</x:v>
      </x:c>
      <x:c r="P47" s="284" t="str">
        <x:v>Não iniciada</x:v>
      </x:c>
      <x:c r="Q47" s="296" t="n">
        <x:f>IF(P47="Concluída",1,IF(P47="Em andamento",0.5,IF(P47="Bloqueada",0.25,0)))</x:f>
        <x:v>0</x:v>
      </x:c>
      <x:c r="R47" s="285" t="str">
        <x:v>https://dev.java/learn/</x:v>
      </x:c>
    </x:row>
    <x:row r="48" ht="58" customHeight="1">
      <x:c r="A48" s="283" t="str">
        <x:v>RPG-M2-W07-04</x:v>
      </x:c>
      <x:c r="B48" s="284" t="str">
        <x:v>Mês 2</x:v>
      </x:c>
      <x:c r="C48" s="284" t="str">
        <x:v>Semana 07</x:v>
      </x:c>
      <x:c r="D48" s="290" t="n">
        <x:v>46303</x:v>
      </x:c>
      <x:c r="E48" s="284" t="str">
        <x:v>Persistência e progressão</x:v>
      </x:c>
      <x:c r="F48" s="284" t="str">
        <x:v>Desenvolvimento</x:v>
      </x:c>
      <x:c r="G48" s="284" t="str">
        <x:v>Eventos</x:v>
      </x:c>
      <x:c r="H48" s="284" t="str">
        <x:v>Publicar eventos de domínio</x:v>
      </x:c>
      <x:c r="I48" s="284" t="str">
        <x:v>Gere CharacterLeveledUp e SkillUnlocked; processe handlers após sucesso sem acoplar módulos.</x:v>
      </x:c>
      <x:c r="J48" s="284" t="str">
        <x:v>Handlers podem falhar de forma observável sem corromper o agregado.</x:v>
      </x:c>
      <x:c r="K48" s="284" t="str">
        <x:v>shared/domain/events e handlers</x:v>
      </x:c>
      <x:c r="L48" s="284" t="str">
        <x:v>Alta</x:v>
      </x:c>
      <x:c r="M48" s="293" t="n">
        <x:v>5</x:v>
      </x:c>
      <x:c r="N48" s="284" t="str">
        <x:v>RPG-M2-W07-03</x:v>
      </x:c>
      <x:c r="O48" s="284" t="str">
        <x:v>E04</x:v>
      </x:c>
      <x:c r="P48" s="284" t="str">
        <x:v>Não iniciada</x:v>
      </x:c>
      <x:c r="Q48" s="296" t="n">
        <x:f>IF(P48="Concluída",1,IF(P48="Em andamento",0.5,IF(P48="Bloqueada",0.25,0)))</x:f>
        <x:v>0</x:v>
      </x:c>
      <x:c r="R48" s="285" t="str">
        <x:v>https://docs.spring.io/spring-boot/</x:v>
      </x:c>
    </x:row>
    <x:row r="49" ht="58" customHeight="1">
      <x:c r="A49" s="283" t="str">
        <x:v>RPG-M2-W07-05</x:v>
      </x:c>
      <x:c r="B49" s="284" t="str">
        <x:v>Mês 2</x:v>
      </x:c>
      <x:c r="C49" s="284" t="str">
        <x:v>Semana 07</x:v>
      </x:c>
      <x:c r="D49" s="290" t="n">
        <x:v>46304</x:v>
      </x:c>
      <x:c r="E49" s="284" t="str">
        <x:v>Persistência e progressão</x:v>
      </x:c>
      <x:c r="F49" s="284" t="str">
        <x:v>Testes</x:v>
      </x:c>
      <x:c r="G49" s="284" t="str">
        <x:v>Testes</x:v>
      </x:c>
      <x:c r="H49" s="284" t="str">
        <x:v>Persistir e testar progressão</x:v>
      </x:c>
      <x:c r="I49" s="284" t="str">
        <x:v>Crie migrations, adapters e testes parametrizados para curva, múltiplos níveis, skills, mana e cooldown.</x:v>
      </x:c>
      <x:c r="J49" s="284" t="str">
        <x:v>Todos os limites documentados têm teste e persistência mantém estado.</x:v>
      </x:c>
      <x:c r="K49" s="284" t="str">
        <x:v>Progression integration tests</x:v>
      </x:c>
      <x:c r="L49" s="284" t="str">
        <x:v>Crítica</x:v>
      </x:c>
      <x:c r="M49" s="293" t="n">
        <x:v>6</x:v>
      </x:c>
      <x:c r="N49" s="284" t="str">
        <x:v>RPG-M2-W07-04</x:v>
      </x:c>
      <x:c r="O49" s="284" t="str">
        <x:v>E04</x:v>
      </x:c>
      <x:c r="P49" s="284" t="str">
        <x:v>Não iniciada</x:v>
      </x:c>
      <x:c r="Q49" s="296" t="n">
        <x:f>IF(P49="Concluída",1,IF(P49="Em andamento",0.5,IF(P49="Bloqueada",0.25,0)))</x:f>
        <x:v>0</x:v>
      </x:c>
      <x:c r="R49" s="285" t="str">
        <x:v>https://java.testcontainers.org/</x:v>
      </x:c>
    </x:row>
    <x:row r="50" ht="58" customHeight="1">
      <x:c r="A50" s="283" t="str">
        <x:v>RPG-M2-W07-06</x:v>
      </x:c>
      <x:c r="B50" s="284" t="str">
        <x:v>Mês 2</x:v>
      </x:c>
      <x:c r="C50" s="284" t="str">
        <x:v>Semana 07</x:v>
      </x:c>
      <x:c r="D50" s="290" t="n">
        <x:v>46306</x:v>
      </x:c>
      <x:c r="E50" s="284" t="str">
        <x:v>Persistência e progressão</x:v>
      </x:c>
      <x:c r="F50" s="284" t="str">
        <x:v>Conteúdo</x:v>
      </x:c>
      <x:c r="G50" s="284" t="str">
        <x:v>YouTube</x:v>
      </x:c>
      <x:c r="H50" s="284" t="str">
        <x:v>Produzir Short 7 e capturar episódio 4</x:v>
      </x:c>
      <x:c r="I50" s="284" t="str">
        <x:v>Grave XP de múltiplos níveis, política por classe e evento de domínio com teste.</x:v>
      </x:c>
      <x:c r="J50" s="284" t="str">
        <x:v>Short publicado e roteiro visual do episódio revisado.</x:v>
      </x:c>
      <x:c r="K50" s="284" t="str">
        <x:v>youtube/ep-04/raw e Short 07</x:v>
      </x:c>
      <x:c r="L50" s="284" t="str">
        <x:v>Média</x:v>
      </x:c>
      <x:c r="M50" s="293" t="n">
        <x:v>3</x:v>
      </x:c>
      <x:c r="N50" s="284" t="str">
        <x:v>RPG-M2-W07-05</x:v>
      </x:c>
      <x:c r="O50" s="284" t="str">
        <x:v>E04</x:v>
      </x:c>
      <x:c r="P50" s="284" t="str">
        <x:v>Não iniciada</x:v>
      </x:c>
      <x:c r="Q50" s="296" t="n">
        <x:f>IF(P50="Concluída",1,IF(P50="Em andamento",0.5,IF(P50="Bloqueada",0.25,0)))</x:f>
        <x:v>0</x:v>
      </x:c>
      <x:c r="R50" s="285" t="str">
        <x:v>https://www.youtube.com/creators/</x:v>
      </x:c>
    </x:row>
    <x:row r="51" ht="58" customHeight="1">
      <x:c r="A51" s="283" t="str">
        <x:v>RPG-M2-W08-01</x:v>
      </x:c>
      <x:c r="B51" s="284" t="str">
        <x:v>Mês 2</x:v>
      </x:c>
      <x:c r="C51" s="284" t="str">
        <x:v>Semana 08</x:v>
      </x:c>
      <x:c r="D51" s="290" t="n">
        <x:v>46307</x:v>
      </x:c>
      <x:c r="E51" s="284" t="str">
        <x:v>Persistência e progressão</x:v>
      </x:c>
      <x:c r="F51" s="284" t="str">
        <x:v>Desenvolvimento</x:v>
      </x:c>
      <x:c r="G51" s="284" t="str">
        <x:v>Missões</x:v>
      </x:c>
      <x:c r="H51" s="284" t="str">
        <x:v>Separar definição e instância</x:v>
      </x:c>
      <x:c r="I51" s="284" t="str">
        <x:v>Modele QuestDefinition imutável e QuestInstance por personagem com versão do conteúdo.</x:v>
      </x:c>
      <x:c r="J51" s="284" t="str">
        <x:v>Alterar catálogo não muda progresso antigo silenciosamente.</x:v>
      </x:c>
      <x:c r="K51" s="284" t="str">
        <x:v>quest/domain/model</x:v>
      </x:c>
      <x:c r="L51" s="284" t="str">
        <x:v>Crítica</x:v>
      </x:c>
      <x:c r="M51" s="293" t="n">
        <x:v>5</x:v>
      </x:c>
      <x:c r="N51" s="284" t="str">
        <x:v>RPG-M2-W07-06</x:v>
      </x:c>
      <x:c r="O51" s="284" t="str">
        <x:v>E04</x:v>
      </x:c>
      <x:c r="P51" s="284" t="str">
        <x:v>Não iniciada</x:v>
      </x:c>
      <x:c r="Q51" s="296" t="n">
        <x:f>IF(P51="Concluída",1,IF(P51="Em andamento",0.5,IF(P51="Bloqueada",0.25,0)))</x:f>
        <x:v>0</x:v>
      </x:c>
      <x:c r="R51" s="285" t="str">
        <x:v>https://dev.java/learn/</x:v>
      </x:c>
    </x:row>
    <x:row r="52" ht="58" customHeight="1">
      <x:c r="A52" s="283" t="str">
        <x:v>RPG-M2-W08-02</x:v>
      </x:c>
      <x:c r="B52" s="284" t="str">
        <x:v>Mês 2</x:v>
      </x:c>
      <x:c r="C52" s="284" t="str">
        <x:v>Semana 08</x:v>
      </x:c>
      <x:c r="D52" s="290" t="n">
        <x:v>46308</x:v>
      </x:c>
      <x:c r="E52" s="284" t="str">
        <x:v>Persistência e progressão</x:v>
      </x:c>
      <x:c r="F52" s="284" t="str">
        <x:v>Desenvolvimento</x:v>
      </x:c>
      <x:c r="G52" s="284" t="str">
        <x:v>Missões</x:v>
      </x:c>
      <x:c r="H52" s="284" t="str">
        <x:v>Criar máquina de estados</x:v>
      </x:c>
      <x:c r="I52" s="284" t="str">
        <x:v>Implemente AVAILABLE, ACTIVE, COMPLETED, FAILED e CLAIMED com transições explícitas.</x:v>
      </x:c>
      <x:c r="J52" s="284" t="str">
        <x:v>Não é possível concluir sem objetivos nem resgatar duas vezes.</x:v>
      </x:c>
      <x:c r="K52" s="284" t="str">
        <x:v>quest/domain/state</x:v>
      </x:c>
      <x:c r="L52" s="284" t="str">
        <x:v>Crítica</x:v>
      </x:c>
      <x:c r="M52" s="293" t="n">
        <x:v>5</x:v>
      </x:c>
      <x:c r="N52" s="284" t="str">
        <x:v>RPG-M2-W08-01</x:v>
      </x:c>
      <x:c r="O52" s="284" t="str">
        <x:v>E04</x:v>
      </x:c>
      <x:c r="P52" s="284" t="str">
        <x:v>Não iniciada</x:v>
      </x:c>
      <x:c r="Q52" s="296" t="n">
        <x:f>IF(P52="Concluída",1,IF(P52="Em andamento",0.5,IF(P52="Bloqueada",0.25,0)))</x:f>
        <x:v>0</x:v>
      </x:c>
      <x:c r="R52" s="285" t="str">
        <x:v>https://junit.org/junit5/docs/current/user-guide/</x:v>
      </x:c>
    </x:row>
    <x:row r="53" ht="58" customHeight="1">
      <x:c r="A53" s="283" t="str">
        <x:v>RPG-M2-W08-03</x:v>
      </x:c>
      <x:c r="B53" s="284" t="str">
        <x:v>Mês 2</x:v>
      </x:c>
      <x:c r="C53" s="284" t="str">
        <x:v>Semana 08</x:v>
      </x:c>
      <x:c r="D53" s="290" t="n">
        <x:v>46309</x:v>
      </x:c>
      <x:c r="E53" s="284" t="str">
        <x:v>Persistência e progressão</x:v>
      </x:c>
      <x:c r="F53" s="284" t="str">
        <x:v>Desenvolvimento</x:v>
      </x:c>
      <x:c r="G53" s="284" t="str">
        <x:v>Objetivos</x:v>
      </x:c>
      <x:c r="H53" s="284" t="str">
        <x:v>Atualizar progresso por eventos</x:v>
      </x:c>
      <x:c r="I53" s="284" t="str">
        <x:v>Consuma BattleWon, ItemCollected e LocationVisited; registre eventId para idempotência.</x:v>
      </x:c>
      <x:c r="J53" s="284" t="str">
        <x:v>Evento repetido não duplica progresso e só missões elegíveis avançam.</x:v>
      </x:c>
      <x:c r="K53" s="284" t="str">
        <x:v>quest/application/handlers</x:v>
      </x:c>
      <x:c r="L53" s="284" t="str">
        <x:v>Alta</x:v>
      </x:c>
      <x:c r="M53" s="293" t="n">
        <x:v>6</x:v>
      </x:c>
      <x:c r="N53" s="284" t="str">
        <x:v>RPG-M2-W08-02</x:v>
      </x:c>
      <x:c r="O53" s="284" t="str">
        <x:v>E04</x:v>
      </x:c>
      <x:c r="P53" s="284" t="str">
        <x:v>Não iniciada</x:v>
      </x:c>
      <x:c r="Q53" s="296" t="n">
        <x:f>IF(P53="Concluída",1,IF(P53="Em andamento",0.5,IF(P53="Bloqueada",0.25,0)))</x:f>
        <x:v>0</x:v>
      </x:c>
      <x:c r="R53" s="285" t="str">
        <x:v>https://docs.spring.io/spring-boot/</x:v>
      </x:c>
    </x:row>
    <x:row r="54" ht="58" customHeight="1">
      <x:c r="A54" s="283" t="str">
        <x:v>RPG-M2-W08-04</x:v>
      </x:c>
      <x:c r="B54" s="284" t="str">
        <x:v>Mês 2</x:v>
      </x:c>
      <x:c r="C54" s="284" t="str">
        <x:v>Semana 08</x:v>
      </x:c>
      <x:c r="D54" s="290" t="n">
        <x:v>46310</x:v>
      </x:c>
      <x:c r="E54" s="284" t="str">
        <x:v>Persistência e progressão</x:v>
      </x:c>
      <x:c r="F54" s="284" t="str">
        <x:v>Desenvolvimento</x:v>
      </x:c>
      <x:c r="G54" s="284" t="str">
        <x:v>Transações</x:v>
      </x:c>
      <x:c r="H54" s="284" t="str">
        <x:v>Entregar recompensa atomicamente</x:v>
      </x:c>
      <x:c r="I54" s="284" t="str">
        <x:v>Atualize XP, moedas e itens em uma transação; defina comportamento para inventário cheio.</x:v>
      </x:c>
      <x:c r="J54" s="284" t="str">
        <x:v>Toda recompensa é aplicada uma vez ou nenhuma alteração persiste.</x:v>
      </x:c>
      <x:c r="K54" s="284" t="str">
        <x:v>ClaimQuestRewardUseCase</x:v>
      </x:c>
      <x:c r="L54" s="284" t="str">
        <x:v>Crítica</x:v>
      </x:c>
      <x:c r="M54" s="293" t="n">
        <x:v>6</x:v>
      </x:c>
      <x:c r="N54" s="284" t="str">
        <x:v>RPG-M2-W08-03</x:v>
      </x:c>
      <x:c r="O54" s="284" t="str">
        <x:v>E04</x:v>
      </x:c>
      <x:c r="P54" s="284" t="str">
        <x:v>Não iniciada</x:v>
      </x:c>
      <x:c r="Q54" s="296" t="n">
        <x:f>IF(P54="Concluída",1,IF(P54="Em andamento",0.5,IF(P54="Bloqueada",0.25,0)))</x:f>
        <x:v>0</x:v>
      </x:c>
      <x:c r="R54" s="285" t="str">
        <x:v>https://docs.spring.io/spring-data/jpa/reference/</x:v>
      </x:c>
    </x:row>
    <x:row r="55" ht="58" customHeight="1">
      <x:c r="A55" s="283" t="str">
        <x:v>RPG-M2-W08-05</x:v>
      </x:c>
      <x:c r="B55" s="284" t="str">
        <x:v>Mês 2</x:v>
      </x:c>
      <x:c r="C55" s="284" t="str">
        <x:v>Semana 08</x:v>
      </x:c>
      <x:c r="D55" s="290" t="n">
        <x:v>46311</x:v>
      </x:c>
      <x:c r="E55" s="284" t="str">
        <x:v>Persistência e progressão</x:v>
      </x:c>
      <x:c r="F55" s="284" t="str">
        <x:v>Entrega</x:v>
      </x:c>
      <x:c r="G55" s="284" t="str">
        <x:v>Release</x:v>
      </x:c>
      <x:c r="H55" s="284" t="str">
        <x:v>Fechar jornada e v0.2.0</x:v>
      </x:c>
      <x:c r="I55" s="284" t="str">
        <x:v>Recrie banco, rode migrations e execute personagem -&gt; batalha -&gt; loot -&gt; XP -&gt; missão; atualize docs, changelog e tag.</x:v>
      </x:c>
      <x:c r="J55" s="284" t="str">
        <x:v>Jornada sobrevive a reinício e um terceiro a reproduz pelo README.</x:v>
      </x:c>
      <x:c r="K55" s="284" t="str">
        <x:v>Release v0.2.0</x:v>
      </x:c>
      <x:c r="L55" s="284" t="str">
        <x:v>Crítica</x:v>
      </x:c>
      <x:c r="M55" s="293" t="n">
        <x:v>6</x:v>
      </x:c>
      <x:c r="N55" s="284" t="str">
        <x:v>RPG-M2-W08-04</x:v>
      </x:c>
      <x:c r="O55" s="284" t="str">
        <x:v>E04</x:v>
      </x:c>
      <x:c r="P55" s="284" t="str">
        <x:v>Não iniciada</x:v>
      </x:c>
      <x:c r="Q55" s="296" t="n">
        <x:f>IF(P55="Concluída",1,IF(P55="Em andamento",0.5,IF(P55="Bloqueada",0.25,0)))</x:f>
        <x:v>0</x:v>
      </x:c>
      <x:c r="R55" s="285" t="str">
        <x:v>https://keepachangelog.com/en/1.1.0/</x:v>
      </x:c>
    </x:row>
    <x:row r="56" ht="58" customHeight="1">
      <x:c r="A56" s="283" t="str">
        <x:v>RPG-M2-W08-06</x:v>
      </x:c>
      <x:c r="B56" s="284" t="str">
        <x:v>Mês 2</x:v>
      </x:c>
      <x:c r="C56" s="284" t="str">
        <x:v>Semana 08</x:v>
      </x:c>
      <x:c r="D56" s="290" t="n">
        <x:v>46313</x:v>
      </x:c>
      <x:c r="E56" s="284" t="str">
        <x:v>Persistência e progressão</x:v>
      </x:c>
      <x:c r="F56" s="284" t="str">
        <x:v>Conteúdo</x:v>
      </x:c>
      <x:c r="G56" s="284" t="str">
        <x:v>YouTube</x:v>
      </x:c>
      <x:c r="H56" s="284" t="str">
        <x:v>Publicar episódio 4</x:v>
      </x:c>
      <x:c r="I56" s="284" t="str">
        <x:v>Explique progressão, habilidades, eventos e missão idempotente; mostre jornada persistente.</x:v>
      </x:c>
      <x:c r="J56" s="284" t="str">
        <x:v>Vídeo, capítulos, thumbnail e release v0.2.0 estão publicados.</x:v>
      </x:c>
      <x:c r="K56" s="284" t="str">
        <x:v>Episódio 4 publicado</x:v>
      </x:c>
      <x:c r="L56" s="284" t="str">
        <x:v>Alta</x:v>
      </x:c>
      <x:c r="M56" s="293" t="n">
        <x:v>4</x:v>
      </x:c>
      <x:c r="N56" s="284" t="str">
        <x:v>RPG-M2-W08-05</x:v>
      </x:c>
      <x:c r="O56" s="284" t="str">
        <x:v>E04</x:v>
      </x:c>
      <x:c r="P56" s="284" t="str">
        <x:v>Não iniciada</x:v>
      </x:c>
      <x:c r="Q56" s="296" t="n">
        <x:f>IF(P56="Concluída",1,IF(P56="Em andamento",0.5,IF(P56="Bloqueada",0.25,0)))</x:f>
        <x:v>0</x:v>
      </x:c>
      <x:c r="R56" s="285" t="str">
        <x:v>https://www.youtube.com/creators/</x:v>
      </x:c>
    </x:row>
    <x:row r="57" ht="58" customHeight="1">
      <x:c r="A57" s="283" t="str">
        <x:v>RPG-M3-W09-01</x:v>
      </x:c>
      <x:c r="B57" s="284" t="str">
        <x:v>Mês 3</x:v>
      </x:c>
      <x:c r="C57" s="284" t="str">
        <x:v>Semana 09</x:v>
      </x:c>
      <x:c r="D57" s="290" t="n">
        <x:v>46314</x:v>
      </x:c>
      <x:c r="E57" s="284" t="str">
        <x:v>API e segurança</x:v>
      </x:c>
      <x:c r="F57" s="284" t="str">
        <x:v>Documentação</x:v>
      </x:c>
      <x:c r="G57" s="284" t="str">
        <x:v>API</x:v>
      </x:c>
      <x:c r="H57" s="284" t="str">
        <x:v>Definir convenções REST</x:v>
      </x:c>
      <x:c r="I57" s="284" t="str">
        <x:v>Padronize recursos, verbos, status, paginação, ordenação, datas, UUID, versionamento e idempotency-key.</x:v>
      </x:c>
      <x:c r="J57" s="284" t="str">
        <x:v>Documento possui exemplos de sucesso e erro para cada convenção.</x:v>
      </x:c>
      <x:c r="K57" s="284" t="str">
        <x:v>docs/api/conventions.md</x:v>
      </x:c>
      <x:c r="L57" s="284" t="str">
        <x:v>Crítica</x:v>
      </x:c>
      <x:c r="M57" s="293" t="n">
        <x:v>4</x:v>
      </x:c>
      <x:c r="N57" s="284" t="str">
        <x:v>RPG-M2-W08-06</x:v>
      </x:c>
      <x:c r="O57" s="284" t="str">
        <x:v>E05</x:v>
      </x:c>
      <x:c r="P57" s="284" t="str">
        <x:v>Não iniciada</x:v>
      </x:c>
      <x:c r="Q57" s="296" t="n">
        <x:f>IF(P57="Concluída",1,IF(P57="Em andamento",0.5,IF(P57="Bloqueada",0.25,0)))</x:f>
        <x:v>0</x:v>
      </x:c>
      <x:c r="R57" s="285" t="str">
        <x:v>https://developer.mozilla.org/en-US/docs/Web/HTTP</x:v>
      </x:c>
    </x:row>
    <x:row r="58" ht="58" customHeight="1">
      <x:c r="A58" s="283" t="str">
        <x:v>RPG-M3-W09-02</x:v>
      </x:c>
      <x:c r="B58" s="284" t="str">
        <x:v>Mês 3</x:v>
      </x:c>
      <x:c r="C58" s="284" t="str">
        <x:v>Semana 09</x:v>
      </x:c>
      <x:c r="D58" s="290" t="n">
        <x:v>46315</x:v>
      </x:c>
      <x:c r="E58" s="284" t="str">
        <x:v>API e segurança</x:v>
      </x:c>
      <x:c r="F58" s="284" t="str">
        <x:v>Desenvolvimento</x:v>
      </x:c>
      <x:c r="G58" s="284" t="str">
        <x:v>API</x:v>
      </x:c>
      <x:c r="H58" s="284" t="str">
        <x:v>Criar DTOs e mapeadores</x:v>
      </x:c>
      <x:c r="I58" s="284" t="str">
        <x:v>Separe request/response do domínio e JPA; crie mappers testados e respostas sem dados internos.</x:v>
      </x:c>
      <x:c r="J58" s="284" t="str">
        <x:v>Nenhum controller retorna entidade JPA ou senha/token indevido.</x:v>
      </x:c>
      <x:c r="K58" s="284" t="str">
        <x:v>interfaces/rest/dto e mapper</x:v>
      </x:c>
      <x:c r="L58" s="284" t="str">
        <x:v>Alta</x:v>
      </x:c>
      <x:c r="M58" s="293" t="n">
        <x:v>5</x:v>
      </x:c>
      <x:c r="N58" s="284" t="str">
        <x:v>RPG-M3-W09-01</x:v>
      </x:c>
      <x:c r="O58" s="284" t="str">
        <x:v>E05</x:v>
      </x:c>
      <x:c r="P58" s="284" t="str">
        <x:v>Não iniciada</x:v>
      </x:c>
      <x:c r="Q58" s="296" t="n">
        <x:f>IF(P58="Concluída",1,IF(P58="Em andamento",0.5,IF(P58="Bloqueada",0.25,0)))</x:f>
        <x:v>0</x:v>
      </x:c>
      <x:c r="R58" s="285" t="str">
        <x:v>https://docs.spring.io/spring-boot/</x:v>
      </x:c>
    </x:row>
    <x:row r="59" ht="58" customHeight="1">
      <x:c r="A59" s="283" t="str">
        <x:v>RPG-M3-W09-03</x:v>
      </x:c>
      <x:c r="B59" s="284" t="str">
        <x:v>Mês 3</x:v>
      </x:c>
      <x:c r="C59" s="284" t="str">
        <x:v>Semana 09</x:v>
      </x:c>
      <x:c r="D59" s="290" t="n">
        <x:v>46316</x:v>
      </x:c>
      <x:c r="E59" s="284" t="str">
        <x:v>API e segurança</x:v>
      </x:c>
      <x:c r="F59" s="284" t="str">
        <x:v>Desenvolvimento</x:v>
      </x:c>
      <x:c r="G59" s="284" t="str">
        <x:v>Validação</x:v>
      </x:c>
      <x:c r="H59" s="284" t="str">
        <x:v>Implementar validação em camadas</x:v>
      </x:c>
      <x:c r="I59" s="284" t="str">
        <x:v>Use Bean Validation para formato e domínio para regras; padronize mensagens e campos.</x:v>
      </x:c>
      <x:c r="J59" s="284" t="str">
        <x:v>Payload inválido retorna 400 com lista de violações estável.</x:v>
      </x:c>
      <x:c r="K59" s="284" t="str">
        <x:v>Validation annotations e tests</x:v>
      </x:c>
      <x:c r="L59" s="284" t="str">
        <x:v>Crítica</x:v>
      </x:c>
      <x:c r="M59" s="293" t="n">
        <x:v>4</x:v>
      </x:c>
      <x:c r="N59" s="284" t="str">
        <x:v>RPG-M3-W09-02</x:v>
      </x:c>
      <x:c r="O59" s="284" t="str">
        <x:v>E05</x:v>
      </x:c>
      <x:c r="P59" s="284" t="str">
        <x:v>Não iniciada</x:v>
      </x:c>
      <x:c r="Q59" s="296" t="n">
        <x:f>IF(P59="Concluída",1,IF(P59="Em andamento",0.5,IF(P59="Bloqueada",0.25,0)))</x:f>
        <x:v>0</x:v>
      </x:c>
      <x:c r="R59" s="285" t="str">
        <x:v>https://docs.spring.io/spring-framework/reference/core/validation/beanvalidation.html</x:v>
      </x:c>
    </x:row>
    <x:row r="60" ht="58" customHeight="1">
      <x:c r="A60" s="283" t="str">
        <x:v>RPG-M3-W09-04</x:v>
      </x:c>
      <x:c r="B60" s="284" t="str">
        <x:v>Mês 3</x:v>
      </x:c>
      <x:c r="C60" s="284" t="str">
        <x:v>Semana 09</x:v>
      </x:c>
      <x:c r="D60" s="290" t="n">
        <x:v>46317</x:v>
      </x:c>
      <x:c r="E60" s="284" t="str">
        <x:v>API e segurança</x:v>
      </x:c>
      <x:c r="F60" s="284" t="str">
        <x:v>Desenvolvimento</x:v>
      </x:c>
      <x:c r="G60" s="284" t="str">
        <x:v>Erros</x:v>
      </x:c>
      <x:c r="H60" s="284" t="str">
        <x:v>Criar Problem Details global</x:v>
      </x:c>
      <x:c r="I60" s="284" t="str">
        <x:v>Implemente code, title, detail, status, path, timestamp, correlationId e fieldErrors.</x:v>
      </x:c>
      <x:c r="J60" s="284" t="str">
        <x:v>400, 401, 403, 404, 409 e 500 seguem o mesmo formato.</x:v>
      </x:c>
      <x:c r="K60" s="284" t="str">
        <x:v>GlobalExceptionHandler</x:v>
      </x:c>
      <x:c r="L60" s="284" t="str">
        <x:v>Crítica</x:v>
      </x:c>
      <x:c r="M60" s="293" t="n">
        <x:v>5</x:v>
      </x:c>
      <x:c r="N60" s="284" t="str">
        <x:v>RPG-M3-W09-03</x:v>
      </x:c>
      <x:c r="O60" s="284" t="str">
        <x:v>E05</x:v>
      </x:c>
      <x:c r="P60" s="284" t="str">
        <x:v>Não iniciada</x:v>
      </x:c>
      <x:c r="Q60" s="296" t="n">
        <x:f>IF(P60="Concluída",1,IF(P60="Em andamento",0.5,IF(P60="Bloqueada",0.25,0)))</x:f>
        <x:v>0</x:v>
      </x:c>
      <x:c r="R60" s="285" t="str">
        <x:v>https://docs.spring.io/spring-boot/</x:v>
      </x:c>
    </x:row>
    <x:row r="61" ht="58" customHeight="1">
      <x:c r="A61" s="283" t="str">
        <x:v>RPG-M3-W09-05</x:v>
      </x:c>
      <x:c r="B61" s="284" t="str">
        <x:v>Mês 3</x:v>
      </x:c>
      <x:c r="C61" s="284" t="str">
        <x:v>Semana 09</x:v>
      </x:c>
      <x:c r="D61" s="290" t="n">
        <x:v>46318</x:v>
      </x:c>
      <x:c r="E61" s="284" t="str">
        <x:v>API e segurança</x:v>
      </x:c>
      <x:c r="F61" s="284" t="str">
        <x:v>Testes</x:v>
      </x:c>
      <x:c r="G61" s="284" t="str">
        <x:v>Bruno</x:v>
      </x:c>
      <x:c r="H61" s="284" t="str">
        <x:v>Montar coleção e ambientes</x:v>
      </x:c>
      <x:c r="I61" s="284" t="str">
        <x:v>Crie local/public, baseUrl, token, pastas por recurso e asserts de status/body; versione com o código.</x:v>
      </x:c>
      <x:c r="J61" s="284" t="str">
        <x:v>Collection Runner executa health e primeiro CRUD sem editar URL.</x:v>
      </x:c>
      <x:c r="K61" s="284" t="str">
        <x:v>bruno/RPG-Arena</x:v>
      </x:c>
      <x:c r="L61" s="284" t="str">
        <x:v>Alta</x:v>
      </x:c>
      <x:c r="M61" s="293" t="n">
        <x:v>4</x:v>
      </x:c>
      <x:c r="N61" s="284" t="str">
        <x:v>RPG-M3-W09-04</x:v>
      </x:c>
      <x:c r="O61" s="284" t="str">
        <x:v>E05</x:v>
      </x:c>
      <x:c r="P61" s="284" t="str">
        <x:v>Não iniciada</x:v>
      </x:c>
      <x:c r="Q61" s="296" t="n">
        <x:f>IF(P61="Concluída",1,IF(P61="Em andamento",0.5,IF(P61="Bloqueada",0.25,0)))</x:f>
        <x:v>0</x:v>
      </x:c>
      <x:c r="R61" s="285" t="str">
        <x:v>https://docs.usebruno.com/</x:v>
      </x:c>
    </x:row>
    <x:row r="62" ht="58" customHeight="1">
      <x:c r="A62" s="283" t="str">
        <x:v>RPG-M3-W09-06</x:v>
      </x:c>
      <x:c r="B62" s="284" t="str">
        <x:v>Mês 3</x:v>
      </x:c>
      <x:c r="C62" s="284" t="str">
        <x:v>Semana 09</x:v>
      </x:c>
      <x:c r="D62" s="290" t="n">
        <x:v>46320</x:v>
      </x:c>
      <x:c r="E62" s="284" t="str">
        <x:v>API e segurança</x:v>
      </x:c>
      <x:c r="F62" s="284" t="str">
        <x:v>Conteúdo</x:v>
      </x:c>
      <x:c r="G62" s="284" t="str">
        <x:v>YouTube</x:v>
      </x:c>
      <x:c r="H62" s="284" t="str">
        <x:v>Produzir Short 9 e capturar episódio 5</x:v>
      </x:c>
      <x:c r="I62" s="284" t="str">
        <x:v>Mostre DTO vs entidade, erro padronizado e ambiente Bruno.</x:v>
      </x:c>
      <x:c r="J62" s="284" t="str">
        <x:v>Short publicado e requests principais gravados em 1080p.</x:v>
      </x:c>
      <x:c r="K62" s="284" t="str">
        <x:v>youtube/ep-05/raw e Short 09</x:v>
      </x:c>
      <x:c r="L62" s="284" t="str">
        <x:v>Média</x:v>
      </x:c>
      <x:c r="M62" s="293" t="n">
        <x:v>3</x:v>
      </x:c>
      <x:c r="N62" s="284" t="str">
        <x:v>RPG-M3-W09-05</x:v>
      </x:c>
      <x:c r="O62" s="284" t="str">
        <x:v>E05</x:v>
      </x:c>
      <x:c r="P62" s="284" t="str">
        <x:v>Não iniciada</x:v>
      </x:c>
      <x:c r="Q62" s="296" t="n">
        <x:f>IF(P62="Concluída",1,IF(P62="Em andamento",0.5,IF(P62="Bloqueada",0.25,0)))</x:f>
        <x:v>0</x:v>
      </x:c>
      <x:c r="R62" s="285" t="str">
        <x:v>https://www.youtube.com/creators/</x:v>
      </x:c>
    </x:row>
    <x:row r="63" ht="58" customHeight="1">
      <x:c r="A63" s="283" t="str">
        <x:v>RPG-M3-W10-01</x:v>
      </x:c>
      <x:c r="B63" s="284" t="str">
        <x:v>Mês 3</x:v>
      </x:c>
      <x:c r="C63" s="284" t="str">
        <x:v>Semana 10</x:v>
      </x:c>
      <x:c r="D63" s="290" t="n">
        <x:v>46321</x:v>
      </x:c>
      <x:c r="E63" s="284" t="str">
        <x:v>API e segurança</x:v>
      </x:c>
      <x:c r="F63" s="284" t="str">
        <x:v>Desenvolvimento</x:v>
      </x:c>
      <x:c r="G63" s="284" t="str">
        <x:v>API</x:v>
      </x:c>
      <x:c r="H63" s="284" t="str">
        <x:v>Criar endpoints de personagem</x:v>
      </x:c>
      <x:c r="I63" s="284" t="str">
        <x:v>Implemente POST, GET lista própria, GET por id e PATCH nome com DTOs e casos de uso.</x:v>
      </x:c>
      <x:c r="J63" s="284" t="str">
        <x:v>Bruno cobre 201, 200, 400, 404 e 409.</x:v>
      </x:c>
      <x:c r="K63" s="284" t="str">
        <x:v>/api/v1/characters</x:v>
      </x:c>
      <x:c r="L63" s="284" t="str">
        <x:v>Crítica</x:v>
      </x:c>
      <x:c r="M63" s="293" t="n">
        <x:v>6</x:v>
      </x:c>
      <x:c r="N63" s="284" t="str">
        <x:v>RPG-M3-W09-06</x:v>
      </x:c>
      <x:c r="O63" s="284" t="str">
        <x:v>E05</x:v>
      </x:c>
      <x:c r="P63" s="284" t="str">
        <x:v>Não iniciada</x:v>
      </x:c>
      <x:c r="Q63" s="296" t="n">
        <x:f>IF(P63="Concluída",1,IF(P63="Em andamento",0.5,IF(P63="Bloqueada",0.25,0)))</x:f>
        <x:v>0</x:v>
      </x:c>
      <x:c r="R63" s="285" t="str">
        <x:v>https://docs.spring.io/spring-boot/</x:v>
      </x:c>
    </x:row>
    <x:row r="64" ht="58" customHeight="1">
      <x:c r="A64" s="283" t="str">
        <x:v>RPG-M3-W10-02</x:v>
      </x:c>
      <x:c r="B64" s="284" t="str">
        <x:v>Mês 3</x:v>
      </x:c>
      <x:c r="C64" s="284" t="str">
        <x:v>Semana 10</x:v>
      </x:c>
      <x:c r="D64" s="290" t="n">
        <x:v>46322</x:v>
      </x:c>
      <x:c r="E64" s="284" t="str">
        <x:v>API e segurança</x:v>
      </x:c>
      <x:c r="F64" s="284" t="str">
        <x:v>Desenvolvimento</x:v>
      </x:c>
      <x:c r="G64" s="284" t="str">
        <x:v>API</x:v>
      </x:c>
      <x:c r="H64" s="284" t="str">
        <x:v>Criar endpoints de inventário</x:v>
      </x:c>
      <x:c r="I64" s="284" t="str">
        <x:v>Implemente listar, equipar, desequipar e consumir mantendo transações no application service.</x:v>
      </x:c>
      <x:c r="J64" s="284" t="str">
        <x:v>Responses mostram atributos derivados e falhas não deixam estado parcial.</x:v>
      </x:c>
      <x:c r="K64" s="284" t="str">
        <x:v>/api/v1/characters/{id}/inventory</x:v>
      </x:c>
      <x:c r="L64" s="284" t="str">
        <x:v>Crítica</x:v>
      </x:c>
      <x:c r="M64" s="293" t="n">
        <x:v>6</x:v>
      </x:c>
      <x:c r="N64" s="284" t="str">
        <x:v>RPG-M3-W10-01</x:v>
      </x:c>
      <x:c r="O64" s="284" t="str">
        <x:v>E05</x:v>
      </x:c>
      <x:c r="P64" s="284" t="str">
        <x:v>Não iniciada</x:v>
      </x:c>
      <x:c r="Q64" s="296" t="n">
        <x:f>IF(P64="Concluída",1,IF(P64="Em andamento",0.5,IF(P64="Bloqueada",0.25,0)))</x:f>
        <x:v>0</x:v>
      </x:c>
      <x:c r="R64" s="285" t="str">
        <x:v>https://docs.spring.io/spring-boot/</x:v>
      </x:c>
    </x:row>
    <x:row r="65" ht="58" customHeight="1">
      <x:c r="A65" s="283" t="str">
        <x:v>RPG-M3-W10-03</x:v>
      </x:c>
      <x:c r="B65" s="284" t="str">
        <x:v>Mês 3</x:v>
      </x:c>
      <x:c r="C65" s="284" t="str">
        <x:v>Semana 10</x:v>
      </x:c>
      <x:c r="D65" s="290" t="n">
        <x:v>46323</x:v>
      </x:c>
      <x:c r="E65" s="284" t="str">
        <x:v>API e segurança</x:v>
      </x:c>
      <x:c r="F65" s="284" t="str">
        <x:v>Desenvolvimento</x:v>
      </x:c>
      <x:c r="G65" s="284" t="str">
        <x:v>Consultas</x:v>
      </x:c>
      <x:c r="H65" s="284" t="str">
        <x:v>Adicionar paginação e filtros</x:v>
      </x:c>
      <x:c r="I65" s="284" t="str">
        <x:v>Use limites máximos, ordenação allowlist e filtros por classe/status/raridade.</x:v>
      </x:c>
      <x:c r="J65" s="284" t="str">
        <x:v>Parâmetros inválidos retornam 400 e consultas não usam full scan desnecessário.</x:v>
      </x:c>
      <x:c r="K65" s="284" t="str">
        <x:v>Query services e indexes</x:v>
      </x:c>
      <x:c r="L65" s="284" t="str">
        <x:v>Alta</x:v>
      </x:c>
      <x:c r="M65" s="293" t="n">
        <x:v>5</x:v>
      </x:c>
      <x:c r="N65" s="284" t="str">
        <x:v>RPG-M3-W10-02</x:v>
      </x:c>
      <x:c r="O65" s="284" t="str">
        <x:v>E05</x:v>
      </x:c>
      <x:c r="P65" s="284" t="str">
        <x:v>Não iniciada</x:v>
      </x:c>
      <x:c r="Q65" s="296" t="n">
        <x:f>IF(P65="Concluída",1,IF(P65="Em andamento",0.5,IF(P65="Bloqueada",0.25,0)))</x:f>
        <x:v>0</x:v>
      </x:c>
      <x:c r="R65" s="285" t="str">
        <x:v>https://docs.spring.io/spring-data/jpa/reference/</x:v>
      </x:c>
    </x:row>
    <x:row r="66" ht="58" customHeight="1">
      <x:c r="A66" s="283" t="str">
        <x:v>RPG-M3-W10-04</x:v>
      </x:c>
      <x:c r="B66" s="284" t="str">
        <x:v>Mês 3</x:v>
      </x:c>
      <x:c r="C66" s="284" t="str">
        <x:v>Semana 10</x:v>
      </x:c>
      <x:c r="D66" s="290" t="n">
        <x:v>46324</x:v>
      </x:c>
      <x:c r="E66" s="284" t="str">
        <x:v>API e segurança</x:v>
      </x:c>
      <x:c r="F66" s="284" t="str">
        <x:v>Desenvolvimento</x:v>
      </x:c>
      <x:c r="G66" s="284" t="str">
        <x:v>Concorrência</x:v>
      </x:c>
      <x:c r="H66" s="284" t="str">
        <x:v>Aplicar optimistic locking e idempotência</x:v>
      </x:c>
      <x:c r="I66" s="284" t="str">
        <x:v>Use @Version e chaves idempotentes em comandos com risco de repetição.</x:v>
      </x:c>
      <x:c r="J66" s="284" t="str">
        <x:v>Requisições simultâneas não silenciam perda de atualização nem duplicam efeitos.</x:v>
      </x:c>
      <x:c r="K66" s="284" t="str">
        <x:v>Concurrency controls</x:v>
      </x:c>
      <x:c r="L66" s="284" t="str">
        <x:v>Crítica</x:v>
      </x:c>
      <x:c r="M66" s="293" t="n">
        <x:v>5</x:v>
      </x:c>
      <x:c r="N66" s="284" t="str">
        <x:v>RPG-M3-W10-03</x:v>
      </x:c>
      <x:c r="O66" s="284" t="str">
        <x:v>E05</x:v>
      </x:c>
      <x:c r="P66" s="284" t="str">
        <x:v>Não iniciada</x:v>
      </x:c>
      <x:c r="Q66" s="296" t="n">
        <x:f>IF(P66="Concluída",1,IF(P66="Em andamento",0.5,IF(P66="Bloqueada",0.25,0)))</x:f>
        <x:v>0</x:v>
      </x:c>
      <x:c r="R66" s="285" t="str">
        <x:v>https://www.postgresql.org/docs/current/</x:v>
      </x:c>
    </x:row>
    <x:row r="67" ht="58" customHeight="1">
      <x:c r="A67" s="283" t="str">
        <x:v>RPG-M3-W10-05</x:v>
      </x:c>
      <x:c r="B67" s="284" t="str">
        <x:v>Mês 3</x:v>
      </x:c>
      <x:c r="C67" s="284" t="str">
        <x:v>Semana 10</x:v>
      </x:c>
      <x:c r="D67" s="290" t="n">
        <x:v>46325</x:v>
      </x:c>
      <x:c r="E67" s="284" t="str">
        <x:v>API e segurança</x:v>
      </x:c>
      <x:c r="F67" s="284" t="str">
        <x:v>Testes</x:v>
      </x:c>
      <x:c r="G67" s="284" t="str">
        <x:v>Testes/API</x:v>
      </x:c>
      <x:c r="H67" s="284" t="str">
        <x:v>Integrar OpenAPI e testes HTTP</x:v>
      </x:c>
      <x:c r="I67" s="284" t="str">
        <x:v>Documente contratos e use testes com PostgreSQL para payloads, transações e versionamento.</x:v>
      </x:c>
      <x:c r="J67" s="284" t="str">
        <x:v>OpenAPI corresponde à implementação e CI executa testes HTTP.</x:v>
      </x:c>
      <x:c r="K67" s="284" t="str">
        <x:v>OpenAPI inicial e integration tests</x:v>
      </x:c>
      <x:c r="L67" s="284" t="str">
        <x:v>Crítica</x:v>
      </x:c>
      <x:c r="M67" s="293" t="n">
        <x:v>6</x:v>
      </x:c>
      <x:c r="N67" s="284" t="str">
        <x:v>RPG-M3-W10-04</x:v>
      </x:c>
      <x:c r="O67" s="284" t="str">
        <x:v>E05</x:v>
      </x:c>
      <x:c r="P67" s="284" t="str">
        <x:v>Não iniciada</x:v>
      </x:c>
      <x:c r="Q67" s="296" t="n">
        <x:f>IF(P67="Concluída",1,IF(P67="Em andamento",0.5,IF(P67="Bloqueada",0.25,0)))</x:f>
        <x:v>0</x:v>
      </x:c>
      <x:c r="R67" s="285" t="str">
        <x:v>https://springdoc.org/</x:v>
      </x:c>
    </x:row>
    <x:row r="68" ht="58" customHeight="1">
      <x:c r="A68" s="283" t="str">
        <x:v>RPG-M3-W10-06</x:v>
      </x:c>
      <x:c r="B68" s="284" t="str">
        <x:v>Mês 3</x:v>
      </x:c>
      <x:c r="C68" s="284" t="str">
        <x:v>Semana 10</x:v>
      </x:c>
      <x:c r="D68" s="290" t="n">
        <x:v>46327</x:v>
      </x:c>
      <x:c r="E68" s="284" t="str">
        <x:v>API e segurança</x:v>
      </x:c>
      <x:c r="F68" s="284" t="str">
        <x:v>Conteúdo</x:v>
      </x:c>
      <x:c r="G68" s="284" t="str">
        <x:v>YouTube</x:v>
      </x:c>
      <x:c r="H68" s="284" t="str">
        <x:v>Publicar episódio 5</x:v>
      </x:c>
      <x:c r="I68" s="284" t="str">
        <x:v>Mostre contrato REST, DTOs, Problem Details, Bruno e concorrência na API de personagem.</x:v>
      </x:c>
      <x:c r="J68" s="284" t="str">
        <x:v>Vídeo publicado e coleção Bruno linkada no repositório.</x:v>
      </x:c>
      <x:c r="K68" s="284" t="str">
        <x:v>Episódio 5 publicado</x:v>
      </x:c>
      <x:c r="L68" s="284" t="str">
        <x:v>Alta</x:v>
      </x:c>
      <x:c r="M68" s="293" t="n">
        <x:v>4</x:v>
      </x:c>
      <x:c r="N68" s="284" t="str">
        <x:v>RPG-M3-W10-05</x:v>
      </x:c>
      <x:c r="O68" s="284" t="str">
        <x:v>E05</x:v>
      </x:c>
      <x:c r="P68" s="284" t="str">
        <x:v>Não iniciada</x:v>
      </x:c>
      <x:c r="Q68" s="296" t="n">
        <x:f>IF(P68="Concluída",1,IF(P68="Em andamento",0.5,IF(P68="Bloqueada",0.25,0)))</x:f>
        <x:v>0</x:v>
      </x:c>
      <x:c r="R68" s="285" t="str">
        <x:v>https://www.youtube.com/creators/</x:v>
      </x:c>
    </x:row>
    <x:row r="69" ht="58" customHeight="1">
      <x:c r="A69" s="283" t="str">
        <x:v>RPG-M3-W11-01</x:v>
      </x:c>
      <x:c r="B69" s="284" t="str">
        <x:v>Mês 3</x:v>
      </x:c>
      <x:c r="C69" s="284" t="str">
        <x:v>Semana 11</x:v>
      </x:c>
      <x:c r="D69" s="290" t="n">
        <x:v>46328</x:v>
      </x:c>
      <x:c r="E69" s="284" t="str">
        <x:v>API e segurança</x:v>
      </x:c>
      <x:c r="F69" s="284" t="str">
        <x:v>Desenvolvimento</x:v>
      </x:c>
      <x:c r="G69" s="284" t="str">
        <x:v>Conta</x:v>
      </x:c>
      <x:c r="H69" s="284" t="str">
        <x:v>Modelar Account e roles</x:v>
      </x:c>
      <x:c r="I69" s="284" t="str">
        <x:v>Implemente email normalizado, passwordHash, status e roles PLAYER/ADMIN; adicione unique e timestamps.</x:v>
      </x:c>
      <x:c r="J69" s="284" t="str">
        <x:v>Email é único e conta bloqueada não autentica.</x:v>
      </x:c>
      <x:c r="K69" s="284" t="str">
        <x:v>account domain e migration</x:v>
      </x:c>
      <x:c r="L69" s="284" t="str">
        <x:v>Crítica</x:v>
      </x:c>
      <x:c r="M69" s="293" t="n">
        <x:v>5</x:v>
      </x:c>
      <x:c r="N69" s="284" t="str">
        <x:v>RPG-M3-W10-06</x:v>
      </x:c>
      <x:c r="O69" s="284" t="str">
        <x:v>E06</x:v>
      </x:c>
      <x:c r="P69" s="284" t="str">
        <x:v>Não iniciada</x:v>
      </x:c>
      <x:c r="Q69" s="296" t="n">
        <x:f>IF(P69="Concluída",1,IF(P69="Em andamento",0.5,IF(P69="Bloqueada",0.25,0)))</x:f>
        <x:v>0</x:v>
      </x:c>
      <x:c r="R69" s="285" t="str">
        <x:v>https://docs.spring.io/spring-security/reference/</x:v>
      </x:c>
    </x:row>
    <x:row r="70" ht="58" customHeight="1">
      <x:c r="A70" s="283" t="str">
        <x:v>RPG-M3-W11-02</x:v>
      </x:c>
      <x:c r="B70" s="284" t="str">
        <x:v>Mês 3</x:v>
      </x:c>
      <x:c r="C70" s="284" t="str">
        <x:v>Semana 11</x:v>
      </x:c>
      <x:c r="D70" s="290" t="n">
        <x:v>46329</x:v>
      </x:c>
      <x:c r="E70" s="284" t="str">
        <x:v>API e segurança</x:v>
      </x:c>
      <x:c r="F70" s="284" t="str">
        <x:v>Desenvolvimento</x:v>
      </x:c>
      <x:c r="G70" s="284" t="str">
        <x:v>Segurança</x:v>
      </x:c>
      <x:c r="H70" s="284" t="str">
        <x:v>Implementar cadastro</x:v>
      </x:c>
      <x:c r="I70" s="284" t="str">
        <x:v>Valide senha, use PasswordEncoder e respostas neutras; nunca registre senha.</x:v>
      </x:c>
      <x:c r="J70" s="284" t="str">
        <x:v>Banco só armazena hash e logs/responses não contêm segredo.</x:v>
      </x:c>
      <x:c r="K70" s="284" t="str">
        <x:v>POST /api/v1/auth/register</x:v>
      </x:c>
      <x:c r="L70" s="284" t="str">
        <x:v>Crítica</x:v>
      </x:c>
      <x:c r="M70" s="293" t="n">
        <x:v>5</x:v>
      </x:c>
      <x:c r="N70" s="284" t="str">
        <x:v>RPG-M3-W11-01</x:v>
      </x:c>
      <x:c r="O70" s="284" t="str">
        <x:v>E06</x:v>
      </x:c>
      <x:c r="P70" s="284" t="str">
        <x:v>Não iniciada</x:v>
      </x:c>
      <x:c r="Q70" s="296" t="n">
        <x:f>IF(P70="Concluída",1,IF(P70="Em andamento",0.5,IF(P70="Bloqueada",0.25,0)))</x:f>
        <x:v>0</x:v>
      </x:c>
      <x:c r="R70" s="285" t="str">
        <x:v>https://cheatsheetseries.owasp.org/</x:v>
      </x:c>
    </x:row>
    <x:row r="71" ht="58" customHeight="1">
      <x:c r="A71" s="283" t="str">
        <x:v>RPG-M3-W11-03</x:v>
      </x:c>
      <x:c r="B71" s="284" t="str">
        <x:v>Mês 3</x:v>
      </x:c>
      <x:c r="C71" s="284" t="str">
        <x:v>Semana 11</x:v>
      </x:c>
      <x:c r="D71" s="290" t="n">
        <x:v>46330</x:v>
      </x:c>
      <x:c r="E71" s="284" t="str">
        <x:v>API e segurança</x:v>
      </x:c>
      <x:c r="F71" s="284" t="str">
        <x:v>Desenvolvimento</x:v>
      </x:c>
      <x:c r="G71" s="284" t="str">
        <x:v>Segurança</x:v>
      </x:c>
      <x:c r="H71" s="284" t="str">
        <x:v>Implementar login JWT</x:v>
      </x:c>
      <x:c r="I71" s="284" t="str">
        <x:v>Emita access token curto com sub, roles, issuer e audience; valide assinatura e expiração.</x:v>
      </x:c>
      <x:c r="J71" s="284" t="str">
        <x:v>Tokens adulterados, expirados ou de issuer incorreto são rejeitados.</x:v>
      </x:c>
      <x:c r="K71" s="284" t="str">
        <x:v>POST /api/v1/auth/login</x:v>
      </x:c>
      <x:c r="L71" s="284" t="str">
        <x:v>Crítica</x:v>
      </x:c>
      <x:c r="M71" s="293" t="n">
        <x:v>6</x:v>
      </x:c>
      <x:c r="N71" s="284" t="str">
        <x:v>RPG-M3-W11-02</x:v>
      </x:c>
      <x:c r="O71" s="284" t="str">
        <x:v>E06</x:v>
      </x:c>
      <x:c r="P71" s="284" t="str">
        <x:v>Não iniciada</x:v>
      </x:c>
      <x:c r="Q71" s="296" t="n">
        <x:f>IF(P71="Concluída",1,IF(P71="Em andamento",0.5,IF(P71="Bloqueada",0.25,0)))</x:f>
        <x:v>0</x:v>
      </x:c>
      <x:c r="R71" s="285" t="str">
        <x:v>https://www.rfc-editor.org/rfc/rfc7519</x:v>
      </x:c>
    </x:row>
    <x:row r="72" ht="58" customHeight="1">
      <x:c r="A72" s="283" t="str">
        <x:v>RPG-M3-W11-04</x:v>
      </x:c>
      <x:c r="B72" s="284" t="str">
        <x:v>Mês 3</x:v>
      </x:c>
      <x:c r="C72" s="284" t="str">
        <x:v>Semana 11</x:v>
      </x:c>
      <x:c r="D72" s="290" t="n">
        <x:v>46331</x:v>
      </x:c>
      <x:c r="E72" s="284" t="str">
        <x:v>API e segurança</x:v>
      </x:c>
      <x:c r="F72" s="284" t="str">
        <x:v>Desenvolvimento</x:v>
      </x:c>
      <x:c r="G72" s="284" t="str">
        <x:v>Sessão</x:v>
      </x:c>
      <x:c r="H72" s="284" t="str">
        <x:v>Implementar refresh rotativo</x:v>
      </x:c>
      <x:c r="I72" s="284" t="str">
        <x:v>Persista hash do refresh, família, expiração e revogação; detecte reutilização.</x:v>
      </x:c>
      <x:c r="J72" s="284" t="str">
        <x:v>Refresh reutilizado revoga a família e logout encerra a sessão.</x:v>
      </x:c>
      <x:c r="K72" s="284" t="str">
        <x:v>refresh_token table e endpoints</x:v>
      </x:c>
      <x:c r="L72" s="284" t="str">
        <x:v>Alta</x:v>
      </x:c>
      <x:c r="M72" s="293" t="n">
        <x:v>6</x:v>
      </x:c>
      <x:c r="N72" s="284" t="str">
        <x:v>RPG-M3-W11-03</x:v>
      </x:c>
      <x:c r="O72" s="284" t="str">
        <x:v>E06</x:v>
      </x:c>
      <x:c r="P72" s="284" t="str">
        <x:v>Não iniciada</x:v>
      </x:c>
      <x:c r="Q72" s="296" t="n">
        <x:f>IF(P72="Concluída",1,IF(P72="Em andamento",0.5,IF(P72="Bloqueada",0.25,0)))</x:f>
        <x:v>0</x:v>
      </x:c>
      <x:c r="R72" s="285" t="str">
        <x:v>https://docs.spring.io/spring-security/reference/</x:v>
      </x:c>
    </x:row>
    <x:row r="73" ht="58" customHeight="1">
      <x:c r="A73" s="283" t="str">
        <x:v>RPG-M3-W11-05</x:v>
      </x:c>
      <x:c r="B73" s="284" t="str">
        <x:v>Mês 3</x:v>
      </x:c>
      <x:c r="C73" s="284" t="str">
        <x:v>Semana 11</x:v>
      </x:c>
      <x:c r="D73" s="290" t="n">
        <x:v>46332</x:v>
      </x:c>
      <x:c r="E73" s="284" t="str">
        <x:v>API e segurança</x:v>
      </x:c>
      <x:c r="F73" s="284" t="str">
        <x:v>Documentação</x:v>
      </x:c>
      <x:c r="G73" s="284" t="str">
        <x:v>Autorização</x:v>
      </x:c>
      <x:c r="H73" s="284" t="str">
        <x:v>Criar matriz de permissões</x:v>
      </x:c>
      <x:c r="I73" s="284" t="str">
        <x:v>Defina público, autenticado, owner e ADMIN por endpoint e comando; configure deny by default.</x:v>
      </x:c>
      <x:c r="J73" s="284" t="str">
        <x:v>Matriz cobre todos os recursos e tem testes allow/deny.</x:v>
      </x:c>
      <x:c r="K73" s="284" t="str">
        <x:v>docs/security/access-matrix.md</x:v>
      </x:c>
      <x:c r="L73" s="284" t="str">
        <x:v>Crítica</x:v>
      </x:c>
      <x:c r="M73" s="293" t="n">
        <x:v>4</x:v>
      </x:c>
      <x:c r="N73" s="284" t="str">
        <x:v>RPG-M3-W11-04</x:v>
      </x:c>
      <x:c r="O73" s="284" t="str">
        <x:v>E06</x:v>
      </x:c>
      <x:c r="P73" s="284" t="str">
        <x:v>Não iniciada</x:v>
      </x:c>
      <x:c r="Q73" s="296" t="n">
        <x:f>IF(P73="Concluída",1,IF(P73="Em andamento",0.5,IF(P73="Bloqueada",0.25,0)))</x:f>
        <x:v>0</x:v>
      </x:c>
      <x:c r="R73" s="285" t="str">
        <x:v>https://docs.spring.io/spring-security/reference/</x:v>
      </x:c>
    </x:row>
    <x:row r="74" ht="58" customHeight="1">
      <x:c r="A74" s="283" t="str">
        <x:v>RPG-M3-W11-06</x:v>
      </x:c>
      <x:c r="B74" s="284" t="str">
        <x:v>Mês 3</x:v>
      </x:c>
      <x:c r="C74" s="284" t="str">
        <x:v>Semana 11</x:v>
      </x:c>
      <x:c r="D74" s="290" t="n">
        <x:v>46334</x:v>
      </x:c>
      <x:c r="E74" s="284" t="str">
        <x:v>API e segurança</x:v>
      </x:c>
      <x:c r="F74" s="284" t="str">
        <x:v>Conteúdo</x:v>
      </x:c>
      <x:c r="G74" s="284" t="str">
        <x:v>YouTube</x:v>
      </x:c>
      <x:c r="H74" s="284" t="str">
        <x:v>Produzir Short 11 e capturar episódio 6</x:v>
      </x:c>
      <x:c r="I74" s="284" t="str">
        <x:v>Grave hash, access vs refresh e um token adulterado sendo recusado.</x:v>
      </x:c>
      <x:c r="J74" s="284" t="str">
        <x:v>Short publicado e cenas de segurança não exibem segredo real.</x:v>
      </x:c>
      <x:c r="K74" s="284" t="str">
        <x:v>youtube/ep-06/raw e Short 11</x:v>
      </x:c>
      <x:c r="L74" s="284" t="str">
        <x:v>Média</x:v>
      </x:c>
      <x:c r="M74" s="293" t="n">
        <x:v>3</x:v>
      </x:c>
      <x:c r="N74" s="284" t="str">
        <x:v>RPG-M3-W11-05</x:v>
      </x:c>
      <x:c r="O74" s="284" t="str">
        <x:v>E06</x:v>
      </x:c>
      <x:c r="P74" s="284" t="str">
        <x:v>Não iniciada</x:v>
      </x:c>
      <x:c r="Q74" s="296" t="n">
        <x:f>IF(P74="Concluída",1,IF(P74="Em andamento",0.5,IF(P74="Bloqueada",0.25,0)))</x:f>
        <x:v>0</x:v>
      </x:c>
      <x:c r="R74" s="285" t="str">
        <x:v>https://www.youtube.com/creators/</x:v>
      </x:c>
    </x:row>
    <x:row r="75" ht="58" customHeight="1">
      <x:c r="A75" s="283" t="str">
        <x:v>RPG-M3-W12-01</x:v>
      </x:c>
      <x:c r="B75" s="284" t="str">
        <x:v>Mês 3</x:v>
      </x:c>
      <x:c r="C75" s="284" t="str">
        <x:v>Semana 12</x:v>
      </x:c>
      <x:c r="D75" s="290" t="n">
        <x:v>46335</x:v>
      </x:c>
      <x:c r="E75" s="284" t="str">
        <x:v>API e segurança</x:v>
      </x:c>
      <x:c r="F75" s="284" t="str">
        <x:v>Desenvolvimento</x:v>
      </x:c>
      <x:c r="G75" s="284" t="str">
        <x:v>Autorização</x:v>
      </x:c>
      <x:c r="H75" s="284" t="str">
        <x:v>Aplicar ownership de personagem</x:v>
      </x:c>
      <x:c r="I75" s="284" t="str">
        <x:v>Valide conta autenticada no caso de uso, não apenas na URL/controller; admin usa regra explícita.</x:v>
      </x:c>
      <x:c r="J75" s="284" t="str">
        <x:v>Trocar characterId nunca concede acesso a outro jogador.</x:v>
      </x:c>
      <x:c r="K75" s="284" t="str">
        <x:v>OwnershipPolicy</x:v>
      </x:c>
      <x:c r="L75" s="284" t="str">
        <x:v>Crítica</x:v>
      </x:c>
      <x:c r="M75" s="293" t="n">
        <x:v>6</x:v>
      </x:c>
      <x:c r="N75" s="284" t="str">
        <x:v>RPG-M3-W11-06</x:v>
      </x:c>
      <x:c r="O75" s="284" t="str">
        <x:v>E06</x:v>
      </x:c>
      <x:c r="P75" s="284" t="str">
        <x:v>Não iniciada</x:v>
      </x:c>
      <x:c r="Q75" s="296" t="n">
        <x:f>IF(P75="Concluída",1,IF(P75="Em andamento",0.5,IF(P75="Bloqueada",0.25,0)))</x:f>
        <x:v>0</x:v>
      </x:c>
      <x:c r="R75" s="285" t="str">
        <x:v>https://docs.spring.io/spring-security/reference/</x:v>
      </x:c>
    </x:row>
    <x:row r="76" ht="58" customHeight="1">
      <x:c r="A76" s="283" t="str">
        <x:v>RPG-M3-W12-02</x:v>
      </x:c>
      <x:c r="B76" s="284" t="str">
        <x:v>Mês 3</x:v>
      </x:c>
      <x:c r="C76" s="284" t="str">
        <x:v>Semana 12</x:v>
      </x:c>
      <x:c r="D76" s="290" t="n">
        <x:v>46336</x:v>
      </x:c>
      <x:c r="E76" s="284" t="str">
        <x:v>API e segurança</x:v>
      </x:c>
      <x:c r="F76" s="284" t="str">
        <x:v>Desenvolvimento</x:v>
      </x:c>
      <x:c r="G76" s="284" t="str">
        <x:v>API</x:v>
      </x:c>
      <x:c r="H76" s="284" t="str">
        <x:v>Expor batalha</x:v>
      </x:c>
      <x:c r="I76" s="284" t="str">
        <x:v>Implemente iniciar, agir e consultar com idempotência, optimistic locking e histórico paginado.</x:v>
      </x:c>
      <x:c r="J76" s="284" t="str">
        <x:v>Ação fora de turno, duplicada ou de não proprietário é recusada.</x:v>
      </x:c>
      <x:c r="K76" s="284" t="str">
        <x:v>/api/v1/battles</x:v>
      </x:c>
      <x:c r="L76" s="284" t="str">
        <x:v>Crítica</x:v>
      </x:c>
      <x:c r="M76" s="293" t="n">
        <x:v>7</x:v>
      </x:c>
      <x:c r="N76" s="284" t="str">
        <x:v>RPG-M3-W12-01</x:v>
      </x:c>
      <x:c r="O76" s="284" t="str">
        <x:v>E06</x:v>
      </x:c>
      <x:c r="P76" s="284" t="str">
        <x:v>Não iniciada</x:v>
      </x:c>
      <x:c r="Q76" s="296" t="n">
        <x:f>IF(P76="Concluída",1,IF(P76="Em andamento",0.5,IF(P76="Bloqueada",0.25,0)))</x:f>
        <x:v>0</x:v>
      </x:c>
      <x:c r="R76" s="285" t="str">
        <x:v>https://developer.mozilla.org/en-US/docs/Web/HTTP</x:v>
      </x:c>
    </x:row>
    <x:row r="77" ht="58" customHeight="1">
      <x:c r="A77" s="283" t="str">
        <x:v>RPG-M3-W12-03</x:v>
      </x:c>
      <x:c r="B77" s="284" t="str">
        <x:v>Mês 3</x:v>
      </x:c>
      <x:c r="C77" s="284" t="str">
        <x:v>Semana 12</x:v>
      </x:c>
      <x:c r="D77" s="290" t="n">
        <x:v>46337</x:v>
      </x:c>
      <x:c r="E77" s="284" t="str">
        <x:v>API e segurança</x:v>
      </x:c>
      <x:c r="F77" s="284" t="str">
        <x:v>Desenvolvimento</x:v>
      </x:c>
      <x:c r="G77" s="284" t="str">
        <x:v>API</x:v>
      </x:c>
      <x:c r="H77" s="284" t="str">
        <x:v>Expor missões</x:v>
      </x:c>
      <x:c r="I77" s="284" t="str">
        <x:v>Implemente listar, aceitar, acompanhar, abandonar e resgatar usando conta/personagem autenticados.</x:v>
      </x:c>
      <x:c r="J77" s="284" t="str">
        <x:v>Recompensa não duplica e missão alheia retorna 403/404 conforme política.</x:v>
      </x:c>
      <x:c r="K77" s="284" t="str">
        <x:v>/api/v1/quests</x:v>
      </x:c>
      <x:c r="L77" s="284" t="str">
        <x:v>Alta</x:v>
      </x:c>
      <x:c r="M77" s="293" t="n">
        <x:v>6</x:v>
      </x:c>
      <x:c r="N77" s="284" t="str">
        <x:v>RPG-M3-W12-02</x:v>
      </x:c>
      <x:c r="O77" s="284" t="str">
        <x:v>E06</x:v>
      </x:c>
      <x:c r="P77" s="284" t="str">
        <x:v>Não iniciada</x:v>
      </x:c>
      <x:c r="Q77" s="296" t="n">
        <x:f>IF(P77="Concluída",1,IF(P77="Em andamento",0.5,IF(P77="Bloqueada",0.25,0)))</x:f>
        <x:v>0</x:v>
      </x:c>
      <x:c r="R77" s="285" t="str">
        <x:v>https://docs.spring.io/spring-boot/</x:v>
      </x:c>
    </x:row>
    <x:row r="78" ht="58" customHeight="1">
      <x:c r="A78" s="283" t="str">
        <x:v>RPG-M3-W12-04</x:v>
      </x:c>
      <x:c r="B78" s="284" t="str">
        <x:v>Mês 3</x:v>
      </x:c>
      <x:c r="C78" s="284" t="str">
        <x:v>Semana 12</x:v>
      </x:c>
      <x:c r="D78" s="290" t="n">
        <x:v>46338</x:v>
      </x:c>
      <x:c r="E78" s="284" t="str">
        <x:v>API e segurança</x:v>
      </x:c>
      <x:c r="F78" s="284" t="str">
        <x:v>Testes</x:v>
      </x:c>
      <x:c r="G78" s="284" t="str">
        <x:v>Testes</x:v>
      </x:c>
      <x:c r="H78" s="284" t="str">
        <x:v>Criar suíte de segurança</x:v>
      </x:c>
      <x:c r="I78" s="284" t="str">
        <x:v>Teste 401, 403, ownership, roles, token expirado, refresh reutilizado e concorrência com PostgreSQL.</x:v>
      </x:c>
      <x:c r="J78" s="284" t="str">
        <x:v>Todos os cenários allow/deny rodam no CI.</x:v>
      </x:c>
      <x:c r="K78" s="284" t="str">
        <x:v>Security integration tests</x:v>
      </x:c>
      <x:c r="L78" s="284" t="str">
        <x:v>Crítica</x:v>
      </x:c>
      <x:c r="M78" s="293" t="n">
        <x:v>7</x:v>
      </x:c>
      <x:c r="N78" s="284" t="str">
        <x:v>RPG-M3-W12-03</x:v>
      </x:c>
      <x:c r="O78" s="284" t="str">
        <x:v>E06</x:v>
      </x:c>
      <x:c r="P78" s="284" t="str">
        <x:v>Não iniciada</x:v>
      </x:c>
      <x:c r="Q78" s="296" t="n">
        <x:f>IF(P78="Concluída",1,IF(P78="Em andamento",0.5,IF(P78="Bloqueada",0.25,0)))</x:f>
        <x:v>0</x:v>
      </x:c>
      <x:c r="R78" s="285" t="str">
        <x:v>https://java.testcontainers.org/</x:v>
      </x:c>
    </x:row>
    <x:row r="79" ht="58" customHeight="1">
      <x:c r="A79" s="283" t="str">
        <x:v>RPG-M3-W12-05</x:v>
      </x:c>
      <x:c r="B79" s="284" t="str">
        <x:v>Mês 3</x:v>
      </x:c>
      <x:c r="C79" s="284" t="str">
        <x:v>Semana 12</x:v>
      </x:c>
      <x:c r="D79" s="290" t="n">
        <x:v>46339</x:v>
      </x:c>
      <x:c r="E79" s="284" t="str">
        <x:v>API e segurança</x:v>
      </x:c>
      <x:c r="F79" s="284" t="str">
        <x:v>Entrega</x:v>
      </x:c>
      <x:c r="G79" s="284" t="str">
        <x:v>Release</x:v>
      </x:c>
      <x:c r="H79" s="284" t="str">
        <x:v>Fechar v0.3.0</x:v>
      </x:c>
      <x:c r="I79" s="284" t="str">
        <x:v>Rode Bruno do cadastro à missão, exporte OpenAPI, atualize README/changelog e publique tag.</x:v>
      </x:c>
      <x:c r="J79" s="284" t="str">
        <x:v>Pessoa externa joga por HTTP usando apenas documentação e coleção.</x:v>
      </x:c>
      <x:c r="K79" s="284" t="str">
        <x:v>Release v0.3.0</x:v>
      </x:c>
      <x:c r="L79" s="284" t="str">
        <x:v>Crítica</x:v>
      </x:c>
      <x:c r="M79" s="293" t="n">
        <x:v>5</x:v>
      </x:c>
      <x:c r="N79" s="284" t="str">
        <x:v>RPG-M3-W12-04</x:v>
      </x:c>
      <x:c r="O79" s="284" t="str">
        <x:v>E06</x:v>
      </x:c>
      <x:c r="P79" s="284" t="str">
        <x:v>Não iniciada</x:v>
      </x:c>
      <x:c r="Q79" s="296" t="n">
        <x:f>IF(P79="Concluída",1,IF(P79="Em andamento",0.5,IF(P79="Bloqueada",0.25,0)))</x:f>
        <x:v>0</x:v>
      </x:c>
      <x:c r="R79" s="285" t="str">
        <x:v>https://keepachangelog.com/en/1.1.0/</x:v>
      </x:c>
    </x:row>
    <x:row r="80" ht="58" customHeight="1">
      <x:c r="A80" s="283" t="str">
        <x:v>RPG-M3-W12-06</x:v>
      </x:c>
      <x:c r="B80" s="284" t="str">
        <x:v>Mês 3</x:v>
      </x:c>
      <x:c r="C80" s="284" t="str">
        <x:v>Semana 12</x:v>
      </x:c>
      <x:c r="D80" s="290" t="n">
        <x:v>46341</x:v>
      </x:c>
      <x:c r="E80" s="284" t="str">
        <x:v>API e segurança</x:v>
      </x:c>
      <x:c r="F80" s="284" t="str">
        <x:v>Conteúdo</x:v>
      </x:c>
      <x:c r="G80" s="284" t="str">
        <x:v>YouTube</x:v>
      </x:c>
      <x:c r="H80" s="284" t="str">
        <x:v>Publicar episódio 6</x:v>
      </x:c>
      <x:c r="I80" s="284" t="str">
        <x:v>Demonstre JWT, ownership, batalha por HTTP, testes de 403 e jornada Bruno.</x:v>
      </x:c>
      <x:c r="J80" s="284" t="str">
        <x:v>Vídeo publicado com aviso para nunca versionar segredos.</x:v>
      </x:c>
      <x:c r="K80" s="284" t="str">
        <x:v>Episódio 6 publicado</x:v>
      </x:c>
      <x:c r="L80" s="284" t="str">
        <x:v>Alta</x:v>
      </x:c>
      <x:c r="M80" s="293" t="n">
        <x:v>4</x:v>
      </x:c>
      <x:c r="N80" s="284" t="str">
        <x:v>RPG-M3-W12-05</x:v>
      </x:c>
      <x:c r="O80" s="284" t="str">
        <x:v>E06</x:v>
      </x:c>
      <x:c r="P80" s="284" t="str">
        <x:v>Não iniciada</x:v>
      </x:c>
      <x:c r="Q80" s="296" t="n">
        <x:f>IF(P80="Concluída",1,IF(P80="Em andamento",0.5,IF(P80="Bloqueada",0.25,0)))</x:f>
        <x:v>0</x:v>
      </x:c>
      <x:c r="R80" s="285" t="str">
        <x:v>https://www.youtube.com/creators/</x:v>
      </x:c>
    </x:row>
    <x:row r="81" ht="58" customHeight="1">
      <x:c r="A81" s="283" t="str">
        <x:v>RPG-M4-W13-01</x:v>
      </x:c>
      <x:c r="B81" s="284" t="str">
        <x:v>Mês 4</x:v>
      </x:c>
      <x:c r="C81" s="284" t="str">
        <x:v>Semana 13</x:v>
      </x:c>
      <x:c r="D81" s="290" t="n">
        <x:v>46342</x:v>
      </x:c>
      <x:c r="E81" s="284" t="str">
        <x:v>Mundo e conteúdo</x:v>
      </x:c>
      <x:c r="F81" s="284" t="str">
        <x:v>Desenvolvimento</x:v>
      </x:c>
      <x:c r="G81" s="284" t="str">
        <x:v>Mundo</x:v>
      </x:c>
      <x:c r="H81" s="284" t="str">
        <x:v>Modelar regiões e locais</x:v>
      </x:c>
      <x:c r="I81" s="284" t="str">
        <x:v>Crie Region, Location, nível recomendado, tags, disponibilidade e conexões direcionadas.</x:v>
      </x:c>
      <x:c r="J81" s="284" t="str">
        <x:v>Grafo rejeita conexão inválida e localização inexistente.</x:v>
      </x:c>
      <x:c r="K81" s="284" t="str">
        <x:v>world/domain/location</x:v>
      </x:c>
      <x:c r="L81" s="284" t="str">
        <x:v>Alta</x:v>
      </x:c>
      <x:c r="M81" s="293" t="n">
        <x:v>5</x:v>
      </x:c>
      <x:c r="N81" s="284" t="str">
        <x:v>RPG-M3-W12-06</x:v>
      </x:c>
      <x:c r="O81" s="284" t="str">
        <x:v>E07</x:v>
      </x:c>
      <x:c r="P81" s="284" t="str">
        <x:v>Não iniciada</x:v>
      </x:c>
      <x:c r="Q81" s="296" t="n">
        <x:f>IF(P81="Concluída",1,IF(P81="Em andamento",0.5,IF(P81="Bloqueada",0.25,0)))</x:f>
        <x:v>0</x:v>
      </x:c>
      <x:c r="R81" s="285" t="str">
        <x:v>https://dev.java/learn/</x:v>
      </x:c>
    </x:row>
    <x:row r="82" ht="58" customHeight="1">
      <x:c r="A82" s="283" t="str">
        <x:v>RPG-M4-W13-02</x:v>
      </x:c>
      <x:c r="B82" s="284" t="str">
        <x:v>Mês 4</x:v>
      </x:c>
      <x:c r="C82" s="284" t="str">
        <x:v>Semana 13</x:v>
      </x:c>
      <x:c r="D82" s="290" t="n">
        <x:v>46343</x:v>
      </x:c>
      <x:c r="E82" s="284" t="str">
        <x:v>Mundo e conteúdo</x:v>
      </x:c>
      <x:c r="F82" s="284" t="str">
        <x:v>Desenvolvimento</x:v>
      </x:c>
      <x:c r="G82" s="284" t="str">
        <x:v>Exploração</x:v>
      </x:c>
      <x:c r="H82" s="284" t="str">
        <x:v>Implementar viagem</x:v>
      </x:c>
      <x:c r="I82" s="284" t="str">
        <x:v>Valide origem, destino conectado, custo, estado e requisito; publique LocationVisited.</x:v>
      </x:c>
      <x:c r="J82" s="284" t="str">
        <x:v>Não existe teletransporte indevido e custo é aplicado uma vez.</x:v>
      </x:c>
      <x:c r="K82" s="284" t="str">
        <x:v>TravelUseCase</x:v>
      </x:c>
      <x:c r="L82" s="284" t="str">
        <x:v>Crítica</x:v>
      </x:c>
      <x:c r="M82" s="293" t="n">
        <x:v>5</x:v>
      </x:c>
      <x:c r="N82" s="284" t="str">
        <x:v>RPG-M4-W13-01</x:v>
      </x:c>
      <x:c r="O82" s="284" t="str">
        <x:v>E07</x:v>
      </x:c>
      <x:c r="P82" s="284" t="str">
        <x:v>Não iniciada</x:v>
      </x:c>
      <x:c r="Q82" s="296" t="n">
        <x:f>IF(P82="Concluída",1,IF(P82="Em andamento",0.5,IF(P82="Bloqueada",0.25,0)))</x:f>
        <x:v>0</x:v>
      </x:c>
      <x:c r="R82" s="285" t="str">
        <x:v>https://junit.org/junit5/docs/current/user-guide/</x:v>
      </x:c>
    </x:row>
    <x:row r="83" ht="58" customHeight="1">
      <x:c r="A83" s="283" t="str">
        <x:v>RPG-M4-W13-03</x:v>
      </x:c>
      <x:c r="B83" s="284" t="str">
        <x:v>Mês 4</x:v>
      </x:c>
      <x:c r="C83" s="284" t="str">
        <x:v>Semana 13</x:v>
      </x:c>
      <x:c r="D83" s="290" t="n">
        <x:v>46344</x:v>
      </x:c>
      <x:c r="E83" s="284" t="str">
        <x:v>Mundo e conteúdo</x:v>
      </x:c>
      <x:c r="F83" s="284" t="str">
        <x:v>Desenvolvimento</x:v>
      </x:c>
      <x:c r="G83" s="284" t="str">
        <x:v>Encontros</x:v>
      </x:c>
      <x:c r="H83" s="284" t="str">
        <x:v>Criar encontros configuráveis</x:v>
      </x:c>
      <x:c r="I83" s="284" t="str">
        <x:v>Modele batalha, descoberta, NPC e recompensa com pesos e condições.</x:v>
      </x:c>
      <x:c r="J83" s="284" t="str">
        <x:v>RandomSource torna encontro reproduzível e só opções elegíveis entram no sorteio.</x:v>
      </x:c>
      <x:c r="K83" s="284" t="str">
        <x:v>world/domain/encounter</x:v>
      </x:c>
      <x:c r="L83" s="284" t="str">
        <x:v>Alta</x:v>
      </x:c>
      <x:c r="M83" s="293" t="n">
        <x:v>6</x:v>
      </x:c>
      <x:c r="N83" s="284" t="str">
        <x:v>RPG-M4-W13-02</x:v>
      </x:c>
      <x:c r="O83" s="284" t="str">
        <x:v>E07</x:v>
      </x:c>
      <x:c r="P83" s="284" t="str">
        <x:v>Não iniciada</x:v>
      </x:c>
      <x:c r="Q83" s="296" t="n">
        <x:f>IF(P83="Concluída",1,IF(P83="Em andamento",0.5,IF(P83="Bloqueada",0.25,0)))</x:f>
        <x:v>0</x:v>
      </x:c>
      <x:c r="R83" s="285" t="str">
        <x:v>https://dev.java/learn/</x:v>
      </x:c>
    </x:row>
    <x:row r="84" ht="58" customHeight="1">
      <x:c r="A84" s="283" t="str">
        <x:v>RPG-M4-W13-04</x:v>
      </x:c>
      <x:c r="B84" s="284" t="str">
        <x:v>Mês 4</x:v>
      </x:c>
      <x:c r="C84" s="284" t="str">
        <x:v>Semana 13</x:v>
      </x:c>
      <x:c r="D84" s="290" t="n">
        <x:v>46345</x:v>
      </x:c>
      <x:c r="E84" s="284" t="str">
        <x:v>Mundo e conteúdo</x:v>
      </x:c>
      <x:c r="F84" s="284" t="str">
        <x:v>Desenvolvimento</x:v>
      </x:c>
      <x:c r="G84" s="284" t="str">
        <x:v>Persistência</x:v>
      </x:c>
      <x:c r="H84" s="284" t="str">
        <x:v>Persistir mapa e posição</x:v>
      </x:c>
      <x:c r="I84" s="284" t="str">
        <x:v>Crie migrations para local, aresta e posição; carregue seed versionado.</x:v>
      </x:c>
      <x:c r="J84" s="284" t="str">
        <x:v>Banco novo recebe mapa válido e posição sobrevive a reinício.</x:v>
      </x:c>
      <x:c r="K84" s="284" t="str">
        <x:v>World migrations e seed</x:v>
      </x:c>
      <x:c r="L84" s="284" t="str">
        <x:v>Alta</x:v>
      </x:c>
      <x:c r="M84" s="293" t="n">
        <x:v>5</x:v>
      </x:c>
      <x:c r="N84" s="284" t="str">
        <x:v>RPG-M4-W13-03</x:v>
      </x:c>
      <x:c r="O84" s="284" t="str">
        <x:v>E07</x:v>
      </x:c>
      <x:c r="P84" s="284" t="str">
        <x:v>Não iniciada</x:v>
      </x:c>
      <x:c r="Q84" s="296" t="n">
        <x:f>IF(P84="Concluída",1,IF(P84="Em andamento",0.5,IF(P84="Bloqueada",0.25,0)))</x:f>
        <x:v>0</x:v>
      </x:c>
      <x:c r="R84" s="285" t="str">
        <x:v>https://documentation.red-gate.com/fd</x:v>
      </x:c>
    </x:row>
    <x:row r="85" ht="58" customHeight="1">
      <x:c r="A85" s="283" t="str">
        <x:v>RPG-M4-W13-05</x:v>
      </x:c>
      <x:c r="B85" s="284" t="str">
        <x:v>Mês 4</x:v>
      </x:c>
      <x:c r="C85" s="284" t="str">
        <x:v>Semana 13</x:v>
      </x:c>
      <x:c r="D85" s="290" t="n">
        <x:v>46346</x:v>
      </x:c>
      <x:c r="E85" s="284" t="str">
        <x:v>Mundo e conteúdo</x:v>
      </x:c>
      <x:c r="F85" s="284" t="str">
        <x:v>Testes</x:v>
      </x:c>
      <x:c r="G85" s="284" t="str">
        <x:v>API/Testes</x:v>
      </x:c>
      <x:c r="H85" s="284" t="str">
        <x:v>Expor mapa e viagem</x:v>
      </x:c>
      <x:c r="I85" s="284" t="str">
        <x:v>Implemente locais, destinos e travel; teste requisitos, ownership e eventos.</x:v>
      </x:c>
      <x:c r="J85" s="284" t="str">
        <x:v>Bruno demonstra exploração completa e bloqueios.</x:v>
      </x:c>
      <x:c r="K85" s="284" t="str">
        <x:v>/api/v1/world e tests</x:v>
      </x:c>
      <x:c r="L85" s="284" t="str">
        <x:v>Crítica</x:v>
      </x:c>
      <x:c r="M85" s="293" t="n">
        <x:v>6</x:v>
      </x:c>
      <x:c r="N85" s="284" t="str">
        <x:v>RPG-M4-W13-04</x:v>
      </x:c>
      <x:c r="O85" s="284" t="str">
        <x:v>E07</x:v>
      </x:c>
      <x:c r="P85" s="284" t="str">
        <x:v>Não iniciada</x:v>
      </x:c>
      <x:c r="Q85" s="296" t="n">
        <x:f>IF(P85="Concluída",1,IF(P85="Em andamento",0.5,IF(P85="Bloqueada",0.25,0)))</x:f>
        <x:v>0</x:v>
      </x:c>
      <x:c r="R85" s="285" t="str">
        <x:v>https://docs.usebruno.com/</x:v>
      </x:c>
    </x:row>
    <x:row r="86" ht="58" customHeight="1">
      <x:c r="A86" s="283" t="str">
        <x:v>RPG-M4-W13-06</x:v>
      </x:c>
      <x:c r="B86" s="284" t="str">
        <x:v>Mês 4</x:v>
      </x:c>
      <x:c r="C86" s="284" t="str">
        <x:v>Semana 13</x:v>
      </x:c>
      <x:c r="D86" s="290" t="n">
        <x:v>46348</x:v>
      </x:c>
      <x:c r="E86" s="284" t="str">
        <x:v>Mundo e conteúdo</x:v>
      </x:c>
      <x:c r="F86" s="284" t="str">
        <x:v>Conteúdo</x:v>
      </x:c>
      <x:c r="G86" s="284" t="str">
        <x:v>YouTube</x:v>
      </x:c>
      <x:c r="H86" s="284" t="str">
        <x:v>Produzir Short 13 e capturar episódio 7</x:v>
      </x:c>
      <x:c r="I86" s="284" t="str">
        <x:v>Mostre mapa como grafo, uma viagem negada e um encontro determinístico.</x:v>
      </x:c>
      <x:c r="J86" s="284" t="str">
        <x:v>Short publicado e diagrama do mapa exportado.</x:v>
      </x:c>
      <x:c r="K86" s="284" t="str">
        <x:v>youtube/ep-07/raw e Short 13</x:v>
      </x:c>
      <x:c r="L86" s="284" t="str">
        <x:v>Média</x:v>
      </x:c>
      <x:c r="M86" s="293" t="n">
        <x:v>3</x:v>
      </x:c>
      <x:c r="N86" s="284" t="str">
        <x:v>RPG-M4-W13-05</x:v>
      </x:c>
      <x:c r="O86" s="284" t="str">
        <x:v>E07</x:v>
      </x:c>
      <x:c r="P86" s="284" t="str">
        <x:v>Não iniciada</x:v>
      </x:c>
      <x:c r="Q86" s="296" t="n">
        <x:f>IF(P86="Concluída",1,IF(P86="Em andamento",0.5,IF(P86="Bloqueada",0.25,0)))</x:f>
        <x:v>0</x:v>
      </x:c>
      <x:c r="R86" s="285" t="str">
        <x:v>https://www.youtube.com/creators/</x:v>
      </x:c>
    </x:row>
    <x:row r="87" ht="58" customHeight="1">
      <x:c r="A87" s="283" t="str">
        <x:v>RPG-M4-W14-01</x:v>
      </x:c>
      <x:c r="B87" s="284" t="str">
        <x:v>Mês 4</x:v>
      </x:c>
      <x:c r="C87" s="284" t="str">
        <x:v>Semana 14</x:v>
      </x:c>
      <x:c r="D87" s="290" t="n">
        <x:v>46349</x:v>
      </x:c>
      <x:c r="E87" s="284" t="str">
        <x:v>Mundo e conteúdo</x:v>
      </x:c>
      <x:c r="F87" s="284" t="str">
        <x:v>Desenvolvimento</x:v>
      </x:c>
      <x:c r="G87" s="284" t="str">
        <x:v>Economia</x:v>
      </x:c>
      <x:c r="H87" s="284" t="str">
        <x:v>Modelar Money e preços</x:v>
      </x:c>
      <x:c r="I87" s="284" t="str">
        <x:v>Use unidade inteira, moeda única, políticas de compra/venda, limites e arredondamento explícito.</x:v>
      </x:c>
      <x:c r="J87" s="284" t="str">
        <x:v>Não há double, valor negativo, overflow silencioso ou preço fora da política.</x:v>
      </x:c>
      <x:c r="K87" s="284" t="str">
        <x:v>economy/domain/Money</x:v>
      </x:c>
      <x:c r="L87" s="284" t="str">
        <x:v>Crítica</x:v>
      </x:c>
      <x:c r="M87" s="293" t="n">
        <x:v>4</x:v>
      </x:c>
      <x:c r="N87" s="284" t="str">
        <x:v>RPG-M4-W13-06</x:v>
      </x:c>
      <x:c r="O87" s="284" t="str">
        <x:v>E07</x:v>
      </x:c>
      <x:c r="P87" s="284" t="str">
        <x:v>Não iniciada</x:v>
      </x:c>
      <x:c r="Q87" s="296" t="n">
        <x:f>IF(P87="Concluída",1,IF(P87="Em andamento",0.5,IF(P87="Bloqueada",0.25,0)))</x:f>
        <x:v>0</x:v>
      </x:c>
      <x:c r="R87" s="285" t="str">
        <x:v>https://dev.java/learn/</x:v>
      </x:c>
    </x:row>
    <x:row r="88" ht="58" customHeight="1">
      <x:c r="A88" s="283" t="str">
        <x:v>RPG-M4-W14-02</x:v>
      </x:c>
      <x:c r="B88" s="284" t="str">
        <x:v>Mês 4</x:v>
      </x:c>
      <x:c r="C88" s="284" t="str">
        <x:v>Semana 14</x:v>
      </x:c>
      <x:c r="D88" s="290" t="n">
        <x:v>46350</x:v>
      </x:c>
      <x:c r="E88" s="284" t="str">
        <x:v>Mundo e conteúdo</x:v>
      </x:c>
      <x:c r="F88" s="284" t="str">
        <x:v>Desenvolvimento</x:v>
      </x:c>
      <x:c r="G88" s="284" t="str">
        <x:v>NPC</x:v>
      </x:c>
      <x:c r="H88" s="284" t="str">
        <x:v>Modelar NPC e Merchant</x:v>
      </x:c>
      <x:c r="I88" s="284" t="str">
        <x:v>Separe NPC, diálogo, localização, catálogo, estoque e horário/condição de atendimento.</x:v>
      </x:c>
      <x:c r="J88" s="284" t="str">
        <x:v>Comerciante só atende personagem elegível no mesmo local.</x:v>
      </x:c>
      <x:c r="K88" s="284" t="str">
        <x:v>npc e economy domain</x:v>
      </x:c>
      <x:c r="L88" s="284" t="str">
        <x:v>Alta</x:v>
      </x:c>
      <x:c r="M88" s="293" t="n">
        <x:v>5</x:v>
      </x:c>
      <x:c r="N88" s="284" t="str">
        <x:v>RPG-M4-W14-01</x:v>
      </x:c>
      <x:c r="O88" s="284" t="str">
        <x:v>E07</x:v>
      </x:c>
      <x:c r="P88" s="284" t="str">
        <x:v>Não iniciada</x:v>
      </x:c>
      <x:c r="Q88" s="296" t="n">
        <x:f>IF(P88="Concluída",1,IF(P88="Em andamento",0.5,IF(P88="Bloqueada",0.25,0)))</x:f>
        <x:v>0</x:v>
      </x:c>
      <x:c r="R88" s="285" t="str">
        <x:v>https://dev.java/learn/</x:v>
      </x:c>
    </x:row>
    <x:row r="89" ht="58" customHeight="1">
      <x:c r="A89" s="283" t="str">
        <x:v>RPG-M4-W14-03</x:v>
      </x:c>
      <x:c r="B89" s="284" t="str">
        <x:v>Mês 4</x:v>
      </x:c>
      <x:c r="C89" s="284" t="str">
        <x:v>Semana 14</x:v>
      </x:c>
      <x:c r="D89" s="290" t="n">
        <x:v>46351</x:v>
      </x:c>
      <x:c r="E89" s="284" t="str">
        <x:v>Mundo e conteúdo</x:v>
      </x:c>
      <x:c r="F89" s="284" t="str">
        <x:v>Desenvolvimento</x:v>
      </x:c>
      <x:c r="G89" s="284" t="str">
        <x:v>Loja</x:v>
      </x:c>
      <x:c r="H89" s="284" t="str">
        <x:v>Implementar compra transacional</x:v>
      </x:c>
      <x:c r="I89" s="284" t="str">
        <x:v>Verifique saldo, estoque e inventário; debite e entregue item em uma transação.</x:v>
      </x:c>
      <x:c r="J89" s="284" t="str">
        <x:v>Falha em qualquer etapa não consome moeda nem estoque.</x:v>
      </x:c>
      <x:c r="K89" s="284" t="str">
        <x:v>PurchaseUseCase</x:v>
      </x:c>
      <x:c r="L89" s="284" t="str">
        <x:v>Crítica</x:v>
      </x:c>
      <x:c r="M89" s="293" t="n">
        <x:v>6</x:v>
      </x:c>
      <x:c r="N89" s="284" t="str">
        <x:v>RPG-M4-W14-02</x:v>
      </x:c>
      <x:c r="O89" s="284" t="str">
        <x:v>E07</x:v>
      </x:c>
      <x:c r="P89" s="284" t="str">
        <x:v>Não iniciada</x:v>
      </x:c>
      <x:c r="Q89" s="296" t="n">
        <x:f>IF(P89="Concluída",1,IF(P89="Em andamento",0.5,IF(P89="Bloqueada",0.25,0)))</x:f>
        <x:v>0</x:v>
      </x:c>
      <x:c r="R89" s="285" t="str">
        <x:v>https://docs.spring.io/spring-data/jpa/reference/</x:v>
      </x:c>
    </x:row>
    <x:row r="90" ht="58" customHeight="1">
      <x:c r="A90" s="283" t="str">
        <x:v>RPG-M4-W14-04</x:v>
      </x:c>
      <x:c r="B90" s="284" t="str">
        <x:v>Mês 4</x:v>
      </x:c>
      <x:c r="C90" s="284" t="str">
        <x:v>Semana 14</x:v>
      </x:c>
      <x:c r="D90" s="290" t="n">
        <x:v>46352</x:v>
      </x:c>
      <x:c r="E90" s="284" t="str">
        <x:v>Mundo e conteúdo</x:v>
      </x:c>
      <x:c r="F90" s="284" t="str">
        <x:v>Desenvolvimento</x:v>
      </x:c>
      <x:c r="G90" s="284" t="str">
        <x:v>Loja</x:v>
      </x:c>
      <x:c r="H90" s="284" t="str">
        <x:v>Implementar venda e reposição</x:v>
      </x:c>
      <x:c r="I90" s="284" t="str">
        <x:v>Valide propriedade e item vendável; proteja último item com lock/versão e idempotência.</x:v>
      </x:c>
      <x:c r="J90" s="284" t="str">
        <x:v>Venda repetida e estoque negativo são impossíveis sob concorrência.</x:v>
      </x:c>
      <x:c r="K90" s="284" t="str">
        <x:v>Sell e Restock use cases</x:v>
      </x:c>
      <x:c r="L90" s="284" t="str">
        <x:v>Crítica</x:v>
      </x:c>
      <x:c r="M90" s="293" t="n">
        <x:v>6</x:v>
      </x:c>
      <x:c r="N90" s="284" t="str">
        <x:v>RPG-M4-W14-03</x:v>
      </x:c>
      <x:c r="O90" s="284" t="str">
        <x:v>E07</x:v>
      </x:c>
      <x:c r="P90" s="284" t="str">
        <x:v>Não iniciada</x:v>
      </x:c>
      <x:c r="Q90" s="296" t="n">
        <x:f>IF(P90="Concluída",1,IF(P90="Em andamento",0.5,IF(P90="Bloqueada",0.25,0)))</x:f>
        <x:v>0</x:v>
      </x:c>
      <x:c r="R90" s="285" t="str">
        <x:v>https://www.postgresql.org/docs/current/</x:v>
      </x:c>
    </x:row>
    <x:row r="91" ht="58" customHeight="1">
      <x:c r="A91" s="283" t="str">
        <x:v>RPG-M4-W14-05</x:v>
      </x:c>
      <x:c r="B91" s="284" t="str">
        <x:v>Mês 4</x:v>
      </x:c>
      <x:c r="C91" s="284" t="str">
        <x:v>Semana 14</x:v>
      </x:c>
      <x:c r="D91" s="290" t="n">
        <x:v>46353</x:v>
      </x:c>
      <x:c r="E91" s="284" t="str">
        <x:v>Mundo e conteúdo</x:v>
      </x:c>
      <x:c r="F91" s="284" t="str">
        <x:v>Testes</x:v>
      </x:c>
      <x:c r="G91" s="284" t="str">
        <x:v>Testes</x:v>
      </x:c>
      <x:c r="H91" s="284" t="str">
        <x:v>Testar economia concorrente</x:v>
      </x:c>
      <x:c r="I91" s="284" t="str">
        <x:v>Simule duas compras do último item, rollback e saldo insuficiente com Testcontainers.</x:v>
      </x:c>
      <x:c r="J91" s="284" t="str">
        <x:v>Somente uma compra vence e todos os saldos fecham.</x:v>
      </x:c>
      <x:c r="K91" s="284" t="str">
        <x:v>Economy integration tests</x:v>
      </x:c>
      <x:c r="L91" s="284" t="str">
        <x:v>Crítica</x:v>
      </x:c>
      <x:c r="M91" s="293" t="n">
        <x:v>6</x:v>
      </x:c>
      <x:c r="N91" s="284" t="str">
        <x:v>RPG-M4-W14-04</x:v>
      </x:c>
      <x:c r="O91" s="284" t="str">
        <x:v>E07</x:v>
      </x:c>
      <x:c r="P91" s="284" t="str">
        <x:v>Não iniciada</x:v>
      </x:c>
      <x:c r="Q91" s="296" t="n">
        <x:f>IF(P91="Concluída",1,IF(P91="Em andamento",0.5,IF(P91="Bloqueada",0.25,0)))</x:f>
        <x:v>0</x:v>
      </x:c>
      <x:c r="R91" s="285" t="str">
        <x:v>https://java.testcontainers.org/</x:v>
      </x:c>
    </x:row>
    <x:row r="92" ht="58" customHeight="1">
      <x:c r="A92" s="283" t="str">
        <x:v>RPG-M4-W14-06</x:v>
      </x:c>
      <x:c r="B92" s="284" t="str">
        <x:v>Mês 4</x:v>
      </x:c>
      <x:c r="C92" s="284" t="str">
        <x:v>Semana 14</x:v>
      </x:c>
      <x:c r="D92" s="290" t="n">
        <x:v>46355</x:v>
      </x:c>
      <x:c r="E92" s="284" t="str">
        <x:v>Mundo e conteúdo</x:v>
      </x:c>
      <x:c r="F92" s="284" t="str">
        <x:v>Conteúdo</x:v>
      </x:c>
      <x:c r="G92" s="284" t="str">
        <x:v>YouTube</x:v>
      </x:c>
      <x:c r="H92" s="284" t="str">
        <x:v>Publicar episódio 7</x:v>
      </x:c>
      <x:c r="I92" s="284" t="str">
        <x:v>Mostre mundo, encontro, Money, compra atômica e teste do último item.</x:v>
      </x:c>
      <x:c r="J92" s="284" t="str">
        <x:v>Vídeo publicado com diagrama da transação e demo.</x:v>
      </x:c>
      <x:c r="K92" s="284" t="str">
        <x:v>Episódio 7 publicado</x:v>
      </x:c>
      <x:c r="L92" s="284" t="str">
        <x:v>Alta</x:v>
      </x:c>
      <x:c r="M92" s="293" t="n">
        <x:v>4</x:v>
      </x:c>
      <x:c r="N92" s="284" t="str">
        <x:v>RPG-M4-W14-05</x:v>
      </x:c>
      <x:c r="O92" s="284" t="str">
        <x:v>E07</x:v>
      </x:c>
      <x:c r="P92" s="284" t="str">
        <x:v>Não iniciada</x:v>
      </x:c>
      <x:c r="Q92" s="296" t="n">
        <x:f>IF(P92="Concluída",1,IF(P92="Em andamento",0.5,IF(P92="Bloqueada",0.25,0)))</x:f>
        <x:v>0</x:v>
      </x:c>
      <x:c r="R92" s="285" t="str">
        <x:v>https://www.youtube.com/creators/</x:v>
      </x:c>
    </x:row>
    <x:row r="93" ht="58" customHeight="1">
      <x:c r="A93" s="283" t="str">
        <x:v>RPG-M4-W15-01</x:v>
      </x:c>
      <x:c r="B93" s="284" t="str">
        <x:v>Mês 4</x:v>
      </x:c>
      <x:c r="C93" s="284" t="str">
        <x:v>Semana 15</x:v>
      </x:c>
      <x:c r="D93" s="290" t="n">
        <x:v>46356</x:v>
      </x:c>
      <x:c r="E93" s="284" t="str">
        <x:v>Mundo e conteúdo</x:v>
      </x:c>
      <x:c r="F93" s="284" t="str">
        <x:v>Documentação</x:v>
      </x:c>
      <x:c r="G93" s="284" t="str">
        <x:v>Conteúdo</x:v>
      </x:c>
      <x:c r="H93" s="284" t="str">
        <x:v>Definir schema narrativo</x:v>
      </x:c>
      <x:c r="I93" s="284" t="str">
        <x:v>Modele quest, etapas, escolhas, condições, diálogos, efeitos e recompensas em formato versionável.</x:v>
      </x:c>
      <x:c r="J93" s="284" t="str">
        <x:v>Conteúdo inválido falha na carga com mensagem e caminho do campo.</x:v>
      </x:c>
      <x:c r="K93" s="284" t="str">
        <x:v>docs/content/quest-schema.md</x:v>
      </x:c>
      <x:c r="L93" s="284" t="str">
        <x:v>Crítica</x:v>
      </x:c>
      <x:c r="M93" s="293" t="n">
        <x:v>5</x:v>
      </x:c>
      <x:c r="N93" s="284" t="str">
        <x:v>RPG-M4-W14-06</x:v>
      </x:c>
      <x:c r="O93" s="284" t="str">
        <x:v>E08</x:v>
      </x:c>
      <x:c r="P93" s="284" t="str">
        <x:v>Não iniciada</x:v>
      </x:c>
      <x:c r="Q93" s="296" t="n">
        <x:f>IF(P93="Concluída",1,IF(P93="Em andamento",0.5,IF(P93="Bloqueada",0.25,0)))</x:f>
        <x:v>0</x:v>
      </x:c>
      <x:c r="R93" s="285" t="str">
        <x:v>https://spec.openapis.org/oas/latest.html</x:v>
      </x:c>
    </x:row>
    <x:row r="94" ht="58" customHeight="1">
      <x:c r="A94" s="283" t="str">
        <x:v>RPG-M4-W15-02</x:v>
      </x:c>
      <x:c r="B94" s="284" t="str">
        <x:v>Mês 4</x:v>
      </x:c>
      <x:c r="C94" s="284" t="str">
        <x:v>Semana 15</x:v>
      </x:c>
      <x:c r="D94" s="290" t="n">
        <x:v>46357</x:v>
      </x:c>
      <x:c r="E94" s="284" t="str">
        <x:v>Mundo e conteúdo</x:v>
      </x:c>
      <x:c r="F94" s="284" t="str">
        <x:v>Desenvolvimento</x:v>
      </x:c>
      <x:c r="G94" s="284" t="str">
        <x:v>Missões</x:v>
      </x:c>
      <x:c r="H94" s="284" t="str">
        <x:v>Implementar pré-requisitos e cadeias</x:v>
      </x:c>
      <x:c r="I94" s="284" t="str">
        <x:v>Crie policies para nível, classe, missão anterior, item, reputação e localização.</x:v>
      </x:c>
      <x:c r="J94" s="284" t="str">
        <x:v>Sistema explica por que uma missão está bloqueada sem if espalhado.</x:v>
      </x:c>
      <x:c r="K94" s="284" t="str">
        <x:v>QuestEligibilityPolicy</x:v>
      </x:c>
      <x:c r="L94" s="284" t="str">
        <x:v>Alta</x:v>
      </x:c>
      <x:c r="M94" s="293" t="n">
        <x:v>6</x:v>
      </x:c>
      <x:c r="N94" s="284" t="str">
        <x:v>RPG-M4-W15-01</x:v>
      </x:c>
      <x:c r="O94" s="284" t="str">
        <x:v>E08</x:v>
      </x:c>
      <x:c r="P94" s="284" t="str">
        <x:v>Não iniciada</x:v>
      </x:c>
      <x:c r="Q94" s="296" t="n">
        <x:f>IF(P94="Concluída",1,IF(P94="Em andamento",0.5,IF(P94="Bloqueada",0.25,0)))</x:f>
        <x:v>0</x:v>
      </x:c>
      <x:c r="R94" s="285" t="str">
        <x:v>https://dev.java/learn/</x:v>
      </x:c>
    </x:row>
    <x:row r="95" ht="58" customHeight="1">
      <x:c r="A95" s="283" t="str">
        <x:v>RPG-M4-W15-03</x:v>
      </x:c>
      <x:c r="B95" s="284" t="str">
        <x:v>Mês 4</x:v>
      </x:c>
      <x:c r="C95" s="284" t="str">
        <x:v>Semana 15</x:v>
      </x:c>
      <x:c r="D95" s="290" t="n">
        <x:v>46358</x:v>
      </x:c>
      <x:c r="E95" s="284" t="str">
        <x:v>Mundo e conteúdo</x:v>
      </x:c>
      <x:c r="F95" s="284" t="str">
        <x:v>Desenvolvimento</x:v>
      </x:c>
      <x:c r="G95" s="284" t="str">
        <x:v>Diálogo</x:v>
      </x:c>
      <x:c r="H95" s="284" t="str">
        <x:v>Modelar nós e escolhas</x:v>
      </x:c>
      <x:c r="I95" s="284" t="str">
        <x:v>Implemente DialogueNode, Choice e transições; valide opção disponível e consumo único.</x:v>
      </x:c>
      <x:c r="J95" s="284" t="str">
        <x:v>Escolha inexistente, bloqueada ou repetida não altera estado.</x:v>
      </x:c>
      <x:c r="K95" s="284" t="str">
        <x:v>dialogue/domain</x:v>
      </x:c>
      <x:c r="L95" s="284" t="str">
        <x:v>Alta</x:v>
      </x:c>
      <x:c r="M95" s="293" t="n">
        <x:v>6</x:v>
      </x:c>
      <x:c r="N95" s="284" t="str">
        <x:v>RPG-M4-W15-02</x:v>
      </x:c>
      <x:c r="O95" s="284" t="str">
        <x:v>E08</x:v>
      </x:c>
      <x:c r="P95" s="284" t="str">
        <x:v>Não iniciada</x:v>
      </x:c>
      <x:c r="Q95" s="296" t="n">
        <x:f>IF(P95="Concluída",1,IF(P95="Em andamento",0.5,IF(P95="Bloqueada",0.25,0)))</x:f>
        <x:v>0</x:v>
      </x:c>
      <x:c r="R95" s="285" t="str">
        <x:v>https://junit.org/junit5/docs/current/user-guide/</x:v>
      </x:c>
    </x:row>
    <x:row r="96" ht="58" customHeight="1">
      <x:c r="A96" s="283" t="str">
        <x:v>RPG-M4-W15-04</x:v>
      </x:c>
      <x:c r="B96" s="284" t="str">
        <x:v>Mês 4</x:v>
      </x:c>
      <x:c r="C96" s="284" t="str">
        <x:v>Semana 15</x:v>
      </x:c>
      <x:c r="D96" s="290" t="n">
        <x:v>46359</x:v>
      </x:c>
      <x:c r="E96" s="284" t="str">
        <x:v>Mundo e conteúdo</x:v>
      </x:c>
      <x:c r="F96" s="284" t="str">
        <x:v>Desenvolvimento</x:v>
      </x:c>
      <x:c r="G96" s="284" t="str">
        <x:v>Consequências</x:v>
      </x:c>
      <x:c r="H96" s="284" t="str">
        <x:v>Aplicar efeitos e versionamento</x:v>
      </x:c>
      <x:c r="I96" s="284" t="str">
        <x:v>Permita moeda, item, reputação, flag e nova missão; vincule instância à versão publicada.</x:v>
      </x:c>
      <x:c r="J96" s="284" t="str">
        <x:v>Nova publicação não corrompe jornada em andamento.</x:v>
      </x:c>
      <x:c r="K96" s="284" t="str">
        <x:v>Narrative effects e content version</x:v>
      </x:c>
      <x:c r="L96" s="284" t="str">
        <x:v>Crítica</x:v>
      </x:c>
      <x:c r="M96" s="293" t="n">
        <x:v>6</x:v>
      </x:c>
      <x:c r="N96" s="284" t="str">
        <x:v>RPG-M4-W15-03</x:v>
      </x:c>
      <x:c r="O96" s="284" t="str">
        <x:v>E08</x:v>
      </x:c>
      <x:c r="P96" s="284" t="str">
        <x:v>Não iniciada</x:v>
      </x:c>
      <x:c r="Q96" s="296" t="n">
        <x:f>IF(P96="Concluída",1,IF(P96="Em andamento",0.5,IF(P96="Bloqueada",0.25,0)))</x:f>
        <x:v>0</x:v>
      </x:c>
      <x:c r="R96" s="285" t="str">
        <x:v>https://docs.spring.io/spring-data/jpa/reference/</x:v>
      </x:c>
    </x:row>
    <x:row r="97" ht="58" customHeight="1">
      <x:c r="A97" s="283" t="str">
        <x:v>RPG-M4-W15-05</x:v>
      </x:c>
      <x:c r="B97" s="284" t="str">
        <x:v>Mês 4</x:v>
      </x:c>
      <x:c r="C97" s="284" t="str">
        <x:v>Semana 15</x:v>
      </x:c>
      <x:c r="D97" s="290" t="n">
        <x:v>46360</x:v>
      </x:c>
      <x:c r="E97" s="284" t="str">
        <x:v>Mundo e conteúdo</x:v>
      </x:c>
      <x:c r="F97" s="284" t="str">
        <x:v>Testes</x:v>
      </x:c>
      <x:c r="G97" s="284" t="str">
        <x:v>API/Testes</x:v>
      </x:c>
      <x:c r="H97" s="284" t="str">
        <x:v>Expor narrativa e validar contratos</x:v>
      </x:c>
      <x:c r="I97" s="284" t="str">
        <x:v>Implemente dialogue/choices e testes de schema, cadeia, escolha e idempotência.</x:v>
      </x:c>
      <x:c r="J97" s="284" t="str">
        <x:v>Fluxo ramificado completo roda no Bruno e no CI.</x:v>
      </x:c>
      <x:c r="K97" s="284" t="str">
        <x:v>/api/v1/dialogues e tests</x:v>
      </x:c>
      <x:c r="L97" s="284" t="str">
        <x:v>Crítica</x:v>
      </x:c>
      <x:c r="M97" s="293" t="n">
        <x:v>6</x:v>
      </x:c>
      <x:c r="N97" s="284" t="str">
        <x:v>RPG-M4-W15-04</x:v>
      </x:c>
      <x:c r="O97" s="284" t="str">
        <x:v>E08</x:v>
      </x:c>
      <x:c r="P97" s="284" t="str">
        <x:v>Não iniciada</x:v>
      </x:c>
      <x:c r="Q97" s="296" t="n">
        <x:f>IF(P97="Concluída",1,IF(P97="Em andamento",0.5,IF(P97="Bloqueada",0.25,0)))</x:f>
        <x:v>0</x:v>
      </x:c>
      <x:c r="R97" s="285" t="str">
        <x:v>https://docs.usebruno.com/</x:v>
      </x:c>
    </x:row>
    <x:row r="98" ht="58" customHeight="1">
      <x:c r="A98" s="283" t="str">
        <x:v>RPG-M4-W15-06</x:v>
      </x:c>
      <x:c r="B98" s="284" t="str">
        <x:v>Mês 4</x:v>
      </x:c>
      <x:c r="C98" s="284" t="str">
        <x:v>Semana 15</x:v>
      </x:c>
      <x:c r="D98" s="290" t="n">
        <x:v>46362</x:v>
      </x:c>
      <x:c r="E98" s="284" t="str">
        <x:v>Mundo e conteúdo</x:v>
      </x:c>
      <x:c r="F98" s="284" t="str">
        <x:v>Conteúdo</x:v>
      </x:c>
      <x:c r="G98" s="284" t="str">
        <x:v>YouTube</x:v>
      </x:c>
      <x:c r="H98" s="284" t="str">
        <x:v>Produzir Short 15 e capturar episódio 8</x:v>
      </x:c>
      <x:c r="I98" s="284" t="str">
        <x:v>Mostre máquina de estados, uma escolha com consequência e conteúdo inválido sendo rejeitado.</x:v>
      </x:c>
      <x:c r="J98" s="284" t="str">
        <x:v>Short publicado e árvore narrativa exportada.</x:v>
      </x:c>
      <x:c r="K98" s="284" t="str">
        <x:v>youtube/ep-08/raw e Short 15</x:v>
      </x:c>
      <x:c r="L98" s="284" t="str">
        <x:v>Média</x:v>
      </x:c>
      <x:c r="M98" s="293" t="n">
        <x:v>3</x:v>
      </x:c>
      <x:c r="N98" s="284" t="str">
        <x:v>RPG-M4-W15-05</x:v>
      </x:c>
      <x:c r="O98" s="284" t="str">
        <x:v>E08</x:v>
      </x:c>
      <x:c r="P98" s="284" t="str">
        <x:v>Não iniciada</x:v>
      </x:c>
      <x:c r="Q98" s="296" t="n">
        <x:f>IF(P98="Concluída",1,IF(P98="Em andamento",0.5,IF(P98="Bloqueada",0.25,0)))</x:f>
        <x:v>0</x:v>
      </x:c>
      <x:c r="R98" s="285" t="str">
        <x:v>https://www.youtube.com/creators/</x:v>
      </x:c>
    </x:row>
    <x:row r="99" ht="58" customHeight="1">
      <x:c r="A99" s="283" t="str">
        <x:v>RPG-M4-W16-01</x:v>
      </x:c>
      <x:c r="B99" s="284" t="str">
        <x:v>Mês 4</x:v>
      </x:c>
      <x:c r="C99" s="284" t="str">
        <x:v>Semana 16</x:v>
      </x:c>
      <x:c r="D99" s="290" t="n">
        <x:v>46363</x:v>
      </x:c>
      <x:c r="E99" s="284" t="str">
        <x:v>Mundo e conteúdo</x:v>
      </x:c>
      <x:c r="F99" s="284" t="str">
        <x:v>Documentação</x:v>
      </x:c>
      <x:c r="G99" s="284" t="str">
        <x:v>Segurança</x:v>
      </x:c>
      <x:c r="H99" s="284" t="str">
        <x:v>Definir RBAC administrativo</x:v>
      </x:c>
      <x:c r="I99" s="284" t="str">
        <x:v>Mapeie permissões para itens, missões, locais, NPCs, publicação e auditoria; negue por padrão.</x:v>
      </x:c>
      <x:c r="J99" s="284" t="str">
        <x:v>PLAYER não acessa endpoints admin e testes cobrem cada permissão.</x:v>
      </x:c>
      <x:c r="K99" s="284" t="str">
        <x:v>docs/security/admin-matrix.md</x:v>
      </x:c>
      <x:c r="L99" s="284" t="str">
        <x:v>Crítica</x:v>
      </x:c>
      <x:c r="M99" s="293" t="n">
        <x:v>4</x:v>
      </x:c>
      <x:c r="N99" s="284" t="str">
        <x:v>RPG-M4-W15-06</x:v>
      </x:c>
      <x:c r="O99" s="284" t="str">
        <x:v>E08</x:v>
      </x:c>
      <x:c r="P99" s="284" t="str">
        <x:v>Não iniciada</x:v>
      </x:c>
      <x:c r="Q99" s="296" t="n">
        <x:f>IF(P99="Concluída",1,IF(P99="Em andamento",0.5,IF(P99="Bloqueada",0.25,0)))</x:f>
        <x:v>0</x:v>
      </x:c>
      <x:c r="R99" s="285" t="str">
        <x:v>https://docs.spring.io/spring-security/reference/</x:v>
      </x:c>
    </x:row>
    <x:row r="100" ht="58" customHeight="1">
      <x:c r="A100" s="283" t="str">
        <x:v>RPG-M4-W16-02</x:v>
      </x:c>
      <x:c r="B100" s="284" t="str">
        <x:v>Mês 4</x:v>
      </x:c>
      <x:c r="C100" s="284" t="str">
        <x:v>Semana 16</x:v>
      </x:c>
      <x:c r="D100" s="290" t="n">
        <x:v>46364</x:v>
      </x:c>
      <x:c r="E100" s="284" t="str">
        <x:v>Mundo e conteúdo</x:v>
      </x:c>
      <x:c r="F100" s="284" t="str">
        <x:v>Desenvolvimento</x:v>
      </x:c>
      <x:c r="G100" s="284" t="str">
        <x:v>Admin</x:v>
      </x:c>
      <x:c r="H100" s="284" t="str">
        <x:v>Criar CRUD de conteúdo</x:v>
      </x:c>
      <x:c r="I100" s="284" t="str">
        <x:v>Implemente criar, editar, consultar e desativar itens, missões, locais e comerciantes.</x:v>
      </x:c>
      <x:c r="J100" s="284" t="str">
        <x:v>Operações usam DTO, validação, paginação e auditoria.</x:v>
      </x:c>
      <x:c r="K100" s="284" t="str">
        <x:v>/api/v1/admin</x:v>
      </x:c>
      <x:c r="L100" s="284" t="str">
        <x:v>Alta</x:v>
      </x:c>
      <x:c r="M100" s="293" t="n">
        <x:v>7</x:v>
      </x:c>
      <x:c r="N100" s="284" t="str">
        <x:v>RPG-M4-W16-01</x:v>
      </x:c>
      <x:c r="O100" s="284" t="str">
        <x:v>E08</x:v>
      </x:c>
      <x:c r="P100" s="284" t="str">
        <x:v>Não iniciada</x:v>
      </x:c>
      <x:c r="Q100" s="296" t="n">
        <x:f>IF(P100="Concluída",1,IF(P100="Em andamento",0.5,IF(P100="Bloqueada",0.25,0)))</x:f>
        <x:v>0</x:v>
      </x:c>
      <x:c r="R100" s="285" t="str">
        <x:v>https://docs.spring.io/spring-boot/</x:v>
      </x:c>
    </x:row>
    <x:row r="101" ht="58" customHeight="1">
      <x:c r="A101" s="283" t="str">
        <x:v>RPG-M4-W16-03</x:v>
      </x:c>
      <x:c r="B101" s="284" t="str">
        <x:v>Mês 4</x:v>
      </x:c>
      <x:c r="C101" s="284" t="str">
        <x:v>Semana 16</x:v>
      </x:c>
      <x:c r="D101" s="290" t="n">
        <x:v>46365</x:v>
      </x:c>
      <x:c r="E101" s="284" t="str">
        <x:v>Mundo e conteúdo</x:v>
      </x:c>
      <x:c r="F101" s="284" t="str">
        <x:v>Desenvolvimento</x:v>
      </x:c>
      <x:c r="G101" s="284" t="str">
        <x:v>Publicação</x:v>
      </x:c>
      <x:c r="H101" s="284" t="str">
        <x:v>Criar rascunho e publish</x:v>
      </x:c>
      <x:c r="I101" s="284" t="str">
        <x:v>Separe DRAFT, PUBLISHED e ARCHIVED; valide conteúdo inteiro antes de publicar.</x:v>
      </x:c>
      <x:c r="J101" s="284" t="str">
        <x:v>Somente versão válida fica ativa e instâncias antigas mantêm referência.</x:v>
      </x:c>
      <x:c r="K101" s="284" t="str">
        <x:v>ContentPublicationService</x:v>
      </x:c>
      <x:c r="L101" s="284" t="str">
        <x:v>Crítica</x:v>
      </x:c>
      <x:c r="M101" s="293" t="n">
        <x:v>6</x:v>
      </x:c>
      <x:c r="N101" s="284" t="str">
        <x:v>RPG-M4-W16-02</x:v>
      </x:c>
      <x:c r="O101" s="284" t="str">
        <x:v>E08</x:v>
      </x:c>
      <x:c r="P101" s="284" t="str">
        <x:v>Não iniciada</x:v>
      </x:c>
      <x:c r="Q101" s="296" t="n">
        <x:f>IF(P101="Concluída",1,IF(P101="Em andamento",0.5,IF(P101="Bloqueada",0.25,0)))</x:f>
        <x:v>0</x:v>
      </x:c>
      <x:c r="R101" s="285" t="str">
        <x:v>https://docs.spring.io/spring-data/jpa/reference/</x:v>
      </x:c>
    </x:row>
    <x:row r="102" ht="58" customHeight="1">
      <x:c r="A102" s="283" t="str">
        <x:v>RPG-M4-W16-04</x:v>
      </x:c>
      <x:c r="B102" s="284" t="str">
        <x:v>Mês 4</x:v>
      </x:c>
      <x:c r="C102" s="284" t="str">
        <x:v>Semana 16</x:v>
      </x:c>
      <x:c r="D102" s="290" t="n">
        <x:v>46366</x:v>
      </x:c>
      <x:c r="E102" s="284" t="str">
        <x:v>Mundo e conteúdo</x:v>
      </x:c>
      <x:c r="F102" s="284" t="str">
        <x:v>Desenvolvimento</x:v>
      </x:c>
      <x:c r="G102" s="284" t="str">
        <x:v>Auditoria</x:v>
      </x:c>
      <x:c r="H102" s="284" t="str">
        <x:v>Registrar ações administrativas</x:v>
      </x:c>
      <x:c r="I102" s="284" t="str">
        <x:v>Grave actor, ação, recurso, versão, horário e correlationId sem segredos.</x:v>
      </x:c>
      <x:c r="J102" s="284" t="str">
        <x:v>É possível identificar quem alterou e publicou cada versão.</x:v>
      </x:c>
      <x:c r="K102" s="284" t="str">
        <x:v>audit_event e logs</x:v>
      </x:c>
      <x:c r="L102" s="284" t="str">
        <x:v>Alta</x:v>
      </x:c>
      <x:c r="M102" s="293" t="n">
        <x:v>5</x:v>
      </x:c>
      <x:c r="N102" s="284" t="str">
        <x:v>RPG-M4-W16-03</x:v>
      </x:c>
      <x:c r="O102" s="284" t="str">
        <x:v>E08</x:v>
      </x:c>
      <x:c r="P102" s="284" t="str">
        <x:v>Não iniciada</x:v>
      </x:c>
      <x:c r="Q102" s="296" t="n">
        <x:f>IF(P102="Concluída",1,IF(P102="Em andamento",0.5,IF(P102="Bloqueada",0.25,0)))</x:f>
        <x:v>0</x:v>
      </x:c>
      <x:c r="R102" s="285" t="str">
        <x:v>https://docs.spring.io/spring-boot/reference/actuator/</x:v>
      </x:c>
    </x:row>
    <x:row r="103" ht="58" customHeight="1">
      <x:c r="A103" s="283" t="str">
        <x:v>RPG-M4-W16-05</x:v>
      </x:c>
      <x:c r="B103" s="284" t="str">
        <x:v>Mês 4</x:v>
      </x:c>
      <x:c r="C103" s="284" t="str">
        <x:v>Semana 16</x:v>
      </x:c>
      <x:c r="D103" s="290" t="n">
        <x:v>46367</x:v>
      </x:c>
      <x:c r="E103" s="284" t="str">
        <x:v>Mundo e conteúdo</x:v>
      </x:c>
      <x:c r="F103" s="284" t="str">
        <x:v>Entrega</x:v>
      </x:c>
      <x:c r="G103" s="284" t="str">
        <x:v>Arquitetura/Release</x:v>
      </x:c>
      <x:c r="H103" s="284" t="str">
        <x:v>Executar ArchUnit e fechar v0.4</x:v>
      </x:c>
      <x:c r="I103" s="284" t="str">
        <x:v>Impeça dependências proibidas, rode regressão, atualize docs/changelog e publique release.</x:v>
      </x:c>
      <x:c r="J103" s="284" t="str">
        <x:v>Build falha em violação arquitetural e v0.4.0 demonstra conteúdo administrável.</x:v>
      </x:c>
      <x:c r="K103" s="284" t="str">
        <x:v>Architecture tests e release v0.4.0</x:v>
      </x:c>
      <x:c r="L103" s="284" t="str">
        <x:v>Crítica</x:v>
      </x:c>
      <x:c r="M103" s="293" t="n">
        <x:v>6</x:v>
      </x:c>
      <x:c r="N103" s="284" t="str">
        <x:v>RPG-M4-W16-04</x:v>
      </x:c>
      <x:c r="O103" s="284" t="str">
        <x:v>E08</x:v>
      </x:c>
      <x:c r="P103" s="284" t="str">
        <x:v>Não iniciada</x:v>
      </x:c>
      <x:c r="Q103" s="296" t="n">
        <x:f>IF(P103="Concluída",1,IF(P103="Em andamento",0.5,IF(P103="Bloqueada",0.25,0)))</x:f>
        <x:v>0</x:v>
      </x:c>
      <x:c r="R103" s="285" t="str">
        <x:v>https://www.archunit.org/userguide/html/000_Index.html</x:v>
      </x:c>
    </x:row>
    <x:row r="104" ht="58" customHeight="1">
      <x:c r="A104" s="283" t="str">
        <x:v>RPG-M4-W16-06</x:v>
      </x:c>
      <x:c r="B104" s="284" t="str">
        <x:v>Mês 4</x:v>
      </x:c>
      <x:c r="C104" s="284" t="str">
        <x:v>Semana 16</x:v>
      </x:c>
      <x:c r="D104" s="290" t="n">
        <x:v>46369</x:v>
      </x:c>
      <x:c r="E104" s="284" t="str">
        <x:v>Mundo e conteúdo</x:v>
      </x:c>
      <x:c r="F104" s="284" t="str">
        <x:v>Conteúdo</x:v>
      </x:c>
      <x:c r="G104" s="284" t="str">
        <x:v>YouTube</x:v>
      </x:c>
      <x:c r="H104" s="284" t="str">
        <x:v>Publicar episódio 8</x:v>
      </x:c>
      <x:c r="I104" s="284" t="str">
        <x:v>Mostre missão ramificada, content version, RBAC e publicação administrativa.</x:v>
      </x:c>
      <x:c r="J104" s="284" t="str">
        <x:v>Vídeo publicado com fluxo draft -&gt; publish -&gt; jogo.</x:v>
      </x:c>
      <x:c r="K104" s="284" t="str">
        <x:v>Episódio 8 publicado</x:v>
      </x:c>
      <x:c r="L104" s="284" t="str">
        <x:v>Alta</x:v>
      </x:c>
      <x:c r="M104" s="293" t="n">
        <x:v>4</x:v>
      </x:c>
      <x:c r="N104" s="284" t="str">
        <x:v>RPG-M4-W16-05</x:v>
      </x:c>
      <x:c r="O104" s="284" t="str">
        <x:v>E08</x:v>
      </x:c>
      <x:c r="P104" s="284" t="str">
        <x:v>Não iniciada</x:v>
      </x:c>
      <x:c r="Q104" s="296" t="n">
        <x:f>IF(P104="Concluída",1,IF(P104="Em andamento",0.5,IF(P104="Bloqueada",0.25,0)))</x:f>
        <x:v>0</x:v>
      </x:c>
      <x:c r="R104" s="285" t="str">
        <x:v>https://www.youtube.com/creators/</x:v>
      </x:c>
    </x:row>
    <x:row r="105" ht="58" customHeight="1">
      <x:c r="A105" s="283" t="str">
        <x:v>RPG-M5-W17-01</x:v>
      </x:c>
      <x:c r="B105" s="284" t="str">
        <x:v>Mês 5</x:v>
      </x:c>
      <x:c r="C105" s="284" t="str">
        <x:v>Semana 17</x:v>
      </x:c>
      <x:c r="D105" s="290" t="n">
        <x:v>46370</x:v>
      </x:c>
      <x:c r="E105" s="284" t="str">
        <x:v>Qualidade e operação</x:v>
      </x:c>
      <x:c r="F105" s="284" t="str">
        <x:v>Documentação</x:v>
      </x:c>
      <x:c r="G105" s="284" t="str">
        <x:v>Qualidade</x:v>
      </x:c>
      <x:c r="H105" s="284" t="str">
        <x:v>Escrever estratégia de testes</x:v>
      </x:c>
      <x:c r="I105" s="284" t="str">
        <x:v>Mapeie riscos por módulo e escolha unit, slice, integration, contract e smoke; defina o que não testar.</x:v>
      </x:c>
      <x:c r="J105" s="284" t="str">
        <x:v>Cada risco crítico possui tipo, camada, dado e objetivo de teste.</x:v>
      </x:c>
      <x:c r="K105" s="284" t="str">
        <x:v>docs/testing/strategy.md</x:v>
      </x:c>
      <x:c r="L105" s="284" t="str">
        <x:v>Crítica</x:v>
      </x:c>
      <x:c r="M105" s="293" t="n">
        <x:v>4</x:v>
      </x:c>
      <x:c r="N105" s="284" t="str">
        <x:v>RPG-M4-W16-06</x:v>
      </x:c>
      <x:c r="O105" s="284" t="str">
        <x:v>E09</x:v>
      </x:c>
      <x:c r="P105" s="284" t="str">
        <x:v>Não iniciada</x:v>
      </x:c>
      <x:c r="Q105" s="296" t="n">
        <x:f>IF(P105="Concluída",1,IF(P105="Em andamento",0.5,IF(P105="Bloqueada",0.25,0)))</x:f>
        <x:v>0</x:v>
      </x:c>
      <x:c r="R105" s="285" t="str">
        <x:v>https://junit.org/junit5/docs/current/user-guide/</x:v>
      </x:c>
    </x:row>
    <x:row r="106" ht="58" customHeight="1">
      <x:c r="A106" s="283" t="str">
        <x:v>RPG-M5-W17-02</x:v>
      </x:c>
      <x:c r="B106" s="284" t="str">
        <x:v>Mês 5</x:v>
      </x:c>
      <x:c r="C106" s="284" t="str">
        <x:v>Semana 17</x:v>
      </x:c>
      <x:c r="D106" s="290" t="n">
        <x:v>46371</x:v>
      </x:c>
      <x:c r="E106" s="284" t="str">
        <x:v>Qualidade e operação</x:v>
      </x:c>
      <x:c r="F106" s="284" t="str">
        <x:v>Testes</x:v>
      </x:c>
      <x:c r="G106" s="284" t="str">
        <x:v>Testes</x:v>
      </x:c>
      <x:c r="H106" s="284" t="str">
        <x:v>Completar testes de domínio</x:v>
      </x:c>
      <x:c r="I106" s="284" t="str">
        <x:v>Feche gaps de combate, inventário, progressão, quest, economia e policies; remova testes de getter.</x:v>
      </x:c>
      <x:c r="J106" s="284" t="str">
        <x:v>Cada regra crítica possui caminho feliz, erro e limite.</x:v>
      </x:c>
      <x:c r="K106" s="284" t="str">
        <x:v>Domain test suites</x:v>
      </x:c>
      <x:c r="L106" s="284" t="str">
        <x:v>Crítica</x:v>
      </x:c>
      <x:c r="M106" s="293" t="n">
        <x:v>7</x:v>
      </x:c>
      <x:c r="N106" s="284" t="str">
        <x:v>RPG-M5-W17-01</x:v>
      </x:c>
      <x:c r="O106" s="284" t="str">
        <x:v>E09</x:v>
      </x:c>
      <x:c r="P106" s="284" t="str">
        <x:v>Não iniciada</x:v>
      </x:c>
      <x:c r="Q106" s="296" t="n">
        <x:f>IF(P106="Concluída",1,IF(P106="Em andamento",0.5,IF(P106="Bloqueada",0.25,0)))</x:f>
        <x:v>0</x:v>
      </x:c>
      <x:c r="R106" s="285" t="str">
        <x:v>https://junit.org/junit5/docs/current/user-guide/</x:v>
      </x:c>
    </x:row>
    <x:row r="107" ht="58" customHeight="1">
      <x:c r="A107" s="283" t="str">
        <x:v>RPG-M5-W17-03</x:v>
      </x:c>
      <x:c r="B107" s="284" t="str">
        <x:v>Mês 5</x:v>
      </x:c>
      <x:c r="C107" s="284" t="str">
        <x:v>Semana 17</x:v>
      </x:c>
      <x:c r="D107" s="290" t="n">
        <x:v>46372</x:v>
      </x:c>
      <x:c r="E107" s="284" t="str">
        <x:v>Qualidade e operação</x:v>
      </x:c>
      <x:c r="F107" s="284" t="str">
        <x:v>Testes</x:v>
      </x:c>
      <x:c r="G107" s="284" t="str">
        <x:v>Testes</x:v>
      </x:c>
      <x:c r="H107" s="284" t="str">
        <x:v>Criar Test Data Builders</x:v>
      </x:c>
      <x:c r="I107" s="284" t="str">
        <x:v>Substitua fixtures globais por builders explícitos e factories por domínio.</x:v>
      </x:c>
      <x:c r="J107" s="284" t="str">
        <x:v>Testes ficam independentes, legíveis e sem estado compartilhado.</x:v>
      </x:c>
      <x:c r="K107" s="284" t="str">
        <x:v>src/test/.../fixtures</x:v>
      </x:c>
      <x:c r="L107" s="284" t="str">
        <x:v>Alta</x:v>
      </x:c>
      <x:c r="M107" s="293" t="n">
        <x:v>5</x:v>
      </x:c>
      <x:c r="N107" s="284" t="str">
        <x:v>RPG-M5-W17-02</x:v>
      </x:c>
      <x:c r="O107" s="284" t="str">
        <x:v>E09</x:v>
      </x:c>
      <x:c r="P107" s="284" t="str">
        <x:v>Não iniciada</x:v>
      </x:c>
      <x:c r="Q107" s="296" t="n">
        <x:f>IF(P107="Concluída",1,IF(P107="Em andamento",0.5,IF(P107="Bloqueada",0.25,0)))</x:f>
        <x:v>0</x:v>
      </x:c>
      <x:c r="R107" s="285" t="str">
        <x:v>https://javadoc.io/doc/org.mockito/mockito-core/latest/org.mockito/org/mockito/Mockito.html</x:v>
      </x:c>
    </x:row>
    <x:row r="108" ht="58" customHeight="1">
      <x:c r="A108" s="283" t="str">
        <x:v>RPG-M5-W17-04</x:v>
      </x:c>
      <x:c r="B108" s="284" t="str">
        <x:v>Mês 5</x:v>
      </x:c>
      <x:c r="C108" s="284" t="str">
        <x:v>Semana 17</x:v>
      </x:c>
      <x:c r="D108" s="290" t="n">
        <x:v>46373</x:v>
      </x:c>
      <x:c r="E108" s="284" t="str">
        <x:v>Qualidade e operação</x:v>
      </x:c>
      <x:c r="F108" s="284" t="str">
        <x:v>Testes</x:v>
      </x:c>
      <x:c r="G108" s="284" t="str">
        <x:v>Integração</x:v>
      </x:c>
      <x:c r="H108" s="284" t="str">
        <x:v>Padronizar Testcontainers</x:v>
      </x:c>
      <x:c r="I108" s="284" t="str">
        <x:v>Crie base reutilizável, PostgreSQL isolado, Flyway real e limpeza determinística.</x:v>
      </x:c>
      <x:c r="J108" s="284" t="str">
        <x:v>Suíte roda local/CI sem banco instalado e sem ordem entre testes.</x:v>
      </x:c>
      <x:c r="K108" s="284" t="str">
        <x:v>Integration test infrastructure</x:v>
      </x:c>
      <x:c r="L108" s="284" t="str">
        <x:v>Crítica</x:v>
      </x:c>
      <x:c r="M108" s="293" t="n">
        <x:v>6</x:v>
      </x:c>
      <x:c r="N108" s="284" t="str">
        <x:v>RPG-M5-W17-03</x:v>
      </x:c>
      <x:c r="O108" s="284" t="str">
        <x:v>E09</x:v>
      </x:c>
      <x:c r="P108" s="284" t="str">
        <x:v>Não iniciada</x:v>
      </x:c>
      <x:c r="Q108" s="296" t="n">
        <x:f>IF(P108="Concluída",1,IF(P108="Em andamento",0.5,IF(P108="Bloqueada",0.25,0)))</x:f>
        <x:v>0</x:v>
      </x:c>
      <x:c r="R108" s="285" t="str">
        <x:v>https://java.testcontainers.org/</x:v>
      </x:c>
    </x:row>
    <x:row r="109" ht="58" customHeight="1">
      <x:c r="A109" s="283" t="str">
        <x:v>RPG-M5-W17-05</x:v>
      </x:c>
      <x:c r="B109" s="284" t="str">
        <x:v>Mês 5</x:v>
      </x:c>
      <x:c r="C109" s="284" t="str">
        <x:v>Semana 17</x:v>
      </x:c>
      <x:c r="D109" s="290" t="n">
        <x:v>46374</x:v>
      </x:c>
      <x:c r="E109" s="284" t="str">
        <x:v>Qualidade e operação</x:v>
      </x:c>
      <x:c r="F109" s="284" t="str">
        <x:v>CI/CD</x:v>
      </x:c>
      <x:c r="G109" s="284" t="str">
        <x:v>Cobertura</x:v>
      </x:c>
      <x:c r="H109" s="284" t="str">
        <x:v>Configurar JaCoCo</x:v>
      </x:c>
      <x:c r="I109" s="284" t="str">
        <x:v>Defina limites por pacote com exigência maior no domínio; publique relatório no CI.</x:v>
      </x:c>
      <x:c r="J109" s="284" t="str">
        <x:v>Queda abaixo do limite bloqueia PR e exclusões estão justificadas.</x:v>
      </x:c>
      <x:c r="K109" s="284" t="str">
        <x:v>JaCoCo report e quality gate</x:v>
      </x:c>
      <x:c r="L109" s="284" t="str">
        <x:v>Alta</x:v>
      </x:c>
      <x:c r="M109" s="293" t="n">
        <x:v>5</x:v>
      </x:c>
      <x:c r="N109" s="284" t="str">
        <x:v>RPG-M5-W17-04</x:v>
      </x:c>
      <x:c r="O109" s="284" t="str">
        <x:v>E09</x:v>
      </x:c>
      <x:c r="P109" s="284" t="str">
        <x:v>Não iniciada</x:v>
      </x:c>
      <x:c r="Q109" s="296" t="n">
        <x:f>IF(P109="Concluída",1,IF(P109="Em andamento",0.5,IF(P109="Bloqueada",0.25,0)))</x:f>
        <x:v>0</x:v>
      </x:c>
      <x:c r="R109" s="285" t="str">
        <x:v>https://www.jacoco.org/jacoco/trunk/doc/</x:v>
      </x:c>
    </x:row>
    <x:row r="110" ht="58" customHeight="1">
      <x:c r="A110" s="283" t="str">
        <x:v>RPG-M5-W17-06</x:v>
      </x:c>
      <x:c r="B110" s="284" t="str">
        <x:v>Mês 5</x:v>
      </x:c>
      <x:c r="C110" s="284" t="str">
        <x:v>Semana 17</x:v>
      </x:c>
      <x:c r="D110" s="290" t="n">
        <x:v>46376</x:v>
      </x:c>
      <x:c r="E110" s="284" t="str">
        <x:v>Qualidade e operação</x:v>
      </x:c>
      <x:c r="F110" s="284" t="str">
        <x:v>Conteúdo</x:v>
      </x:c>
      <x:c r="G110" s="284" t="str">
        <x:v>YouTube</x:v>
      </x:c>
      <x:c r="H110" s="284" t="str">
        <x:v>Produzir Short 17 e capturar episódio 9</x:v>
      </x:c>
      <x:c r="I110" s="284" t="str">
        <x:v>Compare teste útil vs cobertura vazia e mostre um builder reduzindo ruído.</x:v>
      </x:c>
      <x:c r="J110" s="284" t="str">
        <x:v>Short publicado e relatórios/execuções gravados.</x:v>
      </x:c>
      <x:c r="K110" s="284" t="str">
        <x:v>youtube/ep-09/raw e Short 17</x:v>
      </x:c>
      <x:c r="L110" s="284" t="str">
        <x:v>Média</x:v>
      </x:c>
      <x:c r="M110" s="293" t="n">
        <x:v>3</x:v>
      </x:c>
      <x:c r="N110" s="284" t="str">
        <x:v>RPG-M5-W17-05</x:v>
      </x:c>
      <x:c r="O110" s="284" t="str">
        <x:v>E09</x:v>
      </x:c>
      <x:c r="P110" s="284" t="str">
        <x:v>Não iniciada</x:v>
      </x:c>
      <x:c r="Q110" s="296" t="n">
        <x:f>IF(P110="Concluída",1,IF(P110="Em andamento",0.5,IF(P110="Bloqueada",0.25,0)))</x:f>
        <x:v>0</x:v>
      </x:c>
      <x:c r="R110" s="285" t="str">
        <x:v>https://www.youtube.com/creators/</x:v>
      </x:c>
    </x:row>
    <x:row r="111" ht="58" customHeight="1">
      <x:c r="A111" s="283" t="str">
        <x:v>RPG-M5-W18-01</x:v>
      </x:c>
      <x:c r="B111" s="284" t="str">
        <x:v>Mês 5</x:v>
      </x:c>
      <x:c r="C111" s="284" t="str">
        <x:v>Semana 18</x:v>
      </x:c>
      <x:c r="D111" s="290" t="n">
        <x:v>46377</x:v>
      </x:c>
      <x:c r="E111" s="284" t="str">
        <x:v>Qualidade e operação</x:v>
      </x:c>
      <x:c r="F111" s="284" t="str">
        <x:v>Desenvolvimento</x:v>
      </x:c>
      <x:c r="G111" s="284" t="str">
        <x:v>Docker</x:v>
      </x:c>
      <x:c r="H111" s="284" t="str">
        <x:v>Criar Dockerfile multi-stage</x:v>
      </x:c>
      <x:c r="I111" s="284" t="str">
        <x:v>Compile com Maven, copie somente JAR, use JRE mínimo e usuário não root; crie .dockerignore.</x:v>
      </x:c>
      <x:c r="J111" s="284" t="str">
        <x:v>Imagem inicia, não contém fonte/segredo desnecessário e executa sem root.</x:v>
      </x:c>
      <x:c r="K111" s="284" t="str">
        <x:v>Dockerfile e .dockerignore</x:v>
      </x:c>
      <x:c r="L111" s="284" t="str">
        <x:v>Crítica</x:v>
      </x:c>
      <x:c r="M111" s="293" t="n">
        <x:v>5</x:v>
      </x:c>
      <x:c r="N111" s="284" t="str">
        <x:v>RPG-M5-W17-06</x:v>
      </x:c>
      <x:c r="O111" s="284" t="str">
        <x:v>E09</x:v>
      </x:c>
      <x:c r="P111" s="284" t="str">
        <x:v>Não iniciada</x:v>
      </x:c>
      <x:c r="Q111" s="296" t="n">
        <x:f>IF(P111="Concluída",1,IF(P111="Em andamento",0.5,IF(P111="Bloqueada",0.25,0)))</x:f>
        <x:v>0</x:v>
      </x:c>
      <x:c r="R111" s="285" t="str">
        <x:v>https://docs.docker.com/</x:v>
      </x:c>
    </x:row>
    <x:row r="112" ht="58" customHeight="1">
      <x:c r="A112" s="283" t="str">
        <x:v>RPG-M5-W18-02</x:v>
      </x:c>
      <x:c r="B112" s="284" t="str">
        <x:v>Mês 5</x:v>
      </x:c>
      <x:c r="C112" s="284" t="str">
        <x:v>Semana 18</x:v>
      </x:c>
      <x:c r="D112" s="290" t="n">
        <x:v>46378</x:v>
      </x:c>
      <x:c r="E112" s="284" t="str">
        <x:v>Qualidade e operação</x:v>
      </x:c>
      <x:c r="F112" s="284" t="str">
        <x:v>Desenvolvimento</x:v>
      </x:c>
      <x:c r="G112" s="284" t="str">
        <x:v>Docker</x:v>
      </x:c>
      <x:c r="H112" s="284" t="str">
        <x:v>Criar Compose API + PostgreSQL</x:v>
      </x:c>
      <x:c r="I112" s="284" t="str">
        <x:v>Configure rede, volume, healthcheck, depends_on saudável e variáveis no .env.example.</x:v>
      </x:c>
      <x:c r="J112" s="284" t="str">
        <x:v>docker compose up --build inicia ambiente do zero.</x:v>
      </x:c>
      <x:c r="K112" s="284" t="str">
        <x:v>compose.yaml</x:v>
      </x:c>
      <x:c r="L112" s="284" t="str">
        <x:v>Crítica</x:v>
      </x:c>
      <x:c r="M112" s="293" t="n">
        <x:v>5</x:v>
      </x:c>
      <x:c r="N112" s="284" t="str">
        <x:v>RPG-M5-W18-01</x:v>
      </x:c>
      <x:c r="O112" s="284" t="str">
        <x:v>E09</x:v>
      </x:c>
      <x:c r="P112" s="284" t="str">
        <x:v>Não iniciada</x:v>
      </x:c>
      <x:c r="Q112" s="296" t="n">
        <x:f>IF(P112="Concluída",1,IF(P112="Em andamento",0.5,IF(P112="Bloqueada",0.25,0)))</x:f>
        <x:v>0</x:v>
      </x:c>
      <x:c r="R112" s="285" t="str">
        <x:v>https://docs.docker.com/</x:v>
      </x:c>
    </x:row>
    <x:row r="113" ht="58" customHeight="1">
      <x:c r="A113" s="283" t="str">
        <x:v>RPG-M5-W18-03</x:v>
      </x:c>
      <x:c r="B113" s="284" t="str">
        <x:v>Mês 5</x:v>
      </x:c>
      <x:c r="C113" s="284" t="str">
        <x:v>Semana 18</x:v>
      </x:c>
      <x:c r="D113" s="290" t="n">
        <x:v>46379</x:v>
      </x:c>
      <x:c r="E113" s="284" t="str">
        <x:v>Qualidade e operação</x:v>
      </x:c>
      <x:c r="F113" s="284" t="str">
        <x:v>Desenvolvimento</x:v>
      </x:c>
      <x:c r="G113" s="284" t="str">
        <x:v>Configuração</x:v>
      </x:c>
      <x:c r="H113" s="284" t="str">
        <x:v>Separar profiles e segredos</x:v>
      </x:c>
      <x:c r="I113" s="284" t="str">
        <x:v>Defina local, test e prod; valide variáveis obrigatórias e remova defaults inseguros.</x:v>
      </x:c>
      <x:c r="J113" s="284" t="str">
        <x:v>Nenhum segredo real está no Git e produção falha cedo sem configuração.</x:v>
      </x:c>
      <x:c r="K113" s="284" t="str">
        <x:v>application-*.yml</x:v>
      </x:c>
      <x:c r="L113" s="284" t="str">
        <x:v>Crítica</x:v>
      </x:c>
      <x:c r="M113" s="293" t="n">
        <x:v>4</x:v>
      </x:c>
      <x:c r="N113" s="284" t="str">
        <x:v>RPG-M5-W18-02</x:v>
      </x:c>
      <x:c r="O113" s="284" t="str">
        <x:v>E09</x:v>
      </x:c>
      <x:c r="P113" s="284" t="str">
        <x:v>Não iniciada</x:v>
      </x:c>
      <x:c r="Q113" s="296" t="n">
        <x:f>IF(P113="Concluída",1,IF(P113="Em andamento",0.5,IF(P113="Bloqueada",0.25,0)))</x:f>
        <x:v>0</x:v>
      </x:c>
      <x:c r="R113" s="285" t="str">
        <x:v>https://docs.spring.io/spring-boot/</x:v>
      </x:c>
    </x:row>
    <x:row r="114" ht="58" customHeight="1">
      <x:c r="A114" s="283" t="str">
        <x:v>RPG-M5-W18-04</x:v>
      </x:c>
      <x:c r="B114" s="284" t="str">
        <x:v>Mês 5</x:v>
      </x:c>
      <x:c r="C114" s="284" t="str">
        <x:v>Semana 18</x:v>
      </x:c>
      <x:c r="D114" s="290" t="n">
        <x:v>46380</x:v>
      </x:c>
      <x:c r="E114" s="284" t="str">
        <x:v>Qualidade e operação</x:v>
      </x:c>
      <x:c r="F114" s="284" t="str">
        <x:v>Desenvolvimento</x:v>
      </x:c>
      <x:c r="G114" s="284" t="str">
        <x:v>Operação</x:v>
      </x:c>
      <x:c r="H114" s="284" t="str">
        <x:v>Adicionar readiness e liveness</x:v>
      </x:c>
      <x:c r="I114" s="284" t="str">
        <x:v>Configure Actuator, banco e estado da aplicação sem expor detalhes sensíveis.</x:v>
      </x:c>
      <x:c r="J114" s="284" t="str">
        <x:v>Compose e plataforma detectam indisponibilidade corretamente.</x:v>
      </x:c>
      <x:c r="K114" s="284" t="str">
        <x:v>Health groups</x:v>
      </x:c>
      <x:c r="L114" s="284" t="str">
        <x:v>Alta</x:v>
      </x:c>
      <x:c r="M114" s="293" t="n">
        <x:v>4</x:v>
      </x:c>
      <x:c r="N114" s="284" t="str">
        <x:v>RPG-M5-W18-03</x:v>
      </x:c>
      <x:c r="O114" s="284" t="str">
        <x:v>E09</x:v>
      </x:c>
      <x:c r="P114" s="284" t="str">
        <x:v>Não iniciada</x:v>
      </x:c>
      <x:c r="Q114" s="296" t="n">
        <x:f>IF(P114="Concluída",1,IF(P114="Em andamento",0.5,IF(P114="Bloqueada",0.25,0)))</x:f>
        <x:v>0</x:v>
      </x:c>
      <x:c r="R114" s="285" t="str">
        <x:v>https://docs.spring.io/spring-boot/reference/actuator/</x:v>
      </x:c>
    </x:row>
    <x:row r="115" ht="58" customHeight="1">
      <x:c r="A115" s="283" t="str">
        <x:v>RPG-M5-W18-05</x:v>
      </x:c>
      <x:c r="B115" s="284" t="str">
        <x:v>Mês 5</x:v>
      </x:c>
      <x:c r="C115" s="284" t="str">
        <x:v>Semana 18</x:v>
      </x:c>
      <x:c r="D115" s="290" t="n">
        <x:v>46381</x:v>
      </x:c>
      <x:c r="E115" s="284" t="str">
        <x:v>Qualidade e operação</x:v>
      </x:c>
      <x:c r="F115" s="284" t="str">
        <x:v>CI/CD</x:v>
      </x:c>
      <x:c r="G115" s="284" t="str">
        <x:v>Onboarding/CI</x:v>
      </x:c>
      <x:c r="H115" s="284" t="str">
        <x:v>Criar comandos e build de imagem</x:v>
      </x:c>
      <x:c r="I115" s="284" t="str">
        <x:v>Padronize build, test, run, logs, reset seguro e build Docker no CI.</x:v>
      </x:c>
      <x:c r="J115" s="284" t="str">
        <x:v>Novo colaborador executa tudo em até 15 minutos e CI gera imagem.</x:v>
      </x:c>
      <x:c r="K115" s="284" t="str">
        <x:v>scripts/, Makefile opcional e workflow</x:v>
      </x:c>
      <x:c r="L115" s="284" t="str">
        <x:v>Alta</x:v>
      </x:c>
      <x:c r="M115" s="293" t="n">
        <x:v>5</x:v>
      </x:c>
      <x:c r="N115" s="284" t="str">
        <x:v>RPG-M5-W18-04</x:v>
      </x:c>
      <x:c r="O115" s="284" t="str">
        <x:v>E09</x:v>
      </x:c>
      <x:c r="P115" s="284" t="str">
        <x:v>Não iniciada</x:v>
      </x:c>
      <x:c r="Q115" s="296" t="n">
        <x:f>IF(P115="Concluída",1,IF(P115="Em andamento",0.5,IF(P115="Bloqueada",0.25,0)))</x:f>
        <x:v>0</x:v>
      </x:c>
      <x:c r="R115" s="285" t="str">
        <x:v>https://docs.github.com/actions</x:v>
      </x:c>
    </x:row>
    <x:row r="116" ht="58" customHeight="1">
      <x:c r="A116" s="283" t="str">
        <x:v>RPG-M5-W18-06</x:v>
      </x:c>
      <x:c r="B116" s="284" t="str">
        <x:v>Mês 5</x:v>
      </x:c>
      <x:c r="C116" s="284" t="str">
        <x:v>Semana 18</x:v>
      </x:c>
      <x:c r="D116" s="290" t="n">
        <x:v>46383</x:v>
      </x:c>
      <x:c r="E116" s="284" t="str">
        <x:v>Qualidade e operação</x:v>
      </x:c>
      <x:c r="F116" s="284" t="str">
        <x:v>Conteúdo</x:v>
      </x:c>
      <x:c r="G116" s="284" t="str">
        <x:v>YouTube</x:v>
      </x:c>
      <x:c r="H116" s="284" t="str">
        <x:v>Publicar episódio 9</x:v>
      </x:c>
      <x:c r="I116" s="284" t="str">
        <x:v>Mostre pirâmide de testes, PostgreSQL real, JaCoCo, Docker multi-stage e Compose.</x:v>
      </x:c>
      <x:c r="J116" s="284" t="str">
        <x:v>Vídeo publicado e setup foi testado em clone limpo.</x:v>
      </x:c>
      <x:c r="K116" s="284" t="str">
        <x:v>Episódio 9 publicado</x:v>
      </x:c>
      <x:c r="L116" s="284" t="str">
        <x:v>Alta</x:v>
      </x:c>
      <x:c r="M116" s="293" t="n">
        <x:v>4</x:v>
      </x:c>
      <x:c r="N116" s="284" t="str">
        <x:v>RPG-M5-W18-05</x:v>
      </x:c>
      <x:c r="O116" s="284" t="str">
        <x:v>E09</x:v>
      </x:c>
      <x:c r="P116" s="284" t="str">
        <x:v>Não iniciada</x:v>
      </x:c>
      <x:c r="Q116" s="296" t="n">
        <x:f>IF(P116="Concluída",1,IF(P116="Em andamento",0.5,IF(P116="Bloqueada",0.25,0)))</x:f>
        <x:v>0</x:v>
      </x:c>
      <x:c r="R116" s="285" t="str">
        <x:v>https://www.youtube.com/creators/</x:v>
      </x:c>
    </x:row>
    <x:row r="117" ht="58" customHeight="1">
      <x:c r="A117" s="283" t="str">
        <x:v>RPG-M5-W19-01</x:v>
      </x:c>
      <x:c r="B117" s="284" t="str">
        <x:v>Mês 5</x:v>
      </x:c>
      <x:c r="C117" s="284" t="str">
        <x:v>Semana 19</x:v>
      </x:c>
      <x:c r="D117" s="290" t="n">
        <x:v>46384</x:v>
      </x:c>
      <x:c r="E117" s="284" t="str">
        <x:v>Qualidade e operação</x:v>
      </x:c>
      <x:c r="F117" s="284" t="str">
        <x:v>Documentação</x:v>
      </x:c>
      <x:c r="G117" s="284" t="str">
        <x:v>README</x:v>
      </x:c>
      <x:c r="H117" s="284" t="str">
        <x:v>Finalizar README principal</x:v>
      </x:c>
      <x:c r="I117" s="284" t="str">
        <x:v>Inclua proposta, demo, recursos, stack, arquitetura, setup, testes, API, roadmap, contribuição e licença.</x:v>
      </x:c>
      <x:c r="J117" s="284" t="str">
        <x:v>Pessoa externa entende e executa o projeto sem mensagem privada.</x:v>
      </x:c>
      <x:c r="K117" s="284" t="str">
        <x:v>README.md</x:v>
      </x:c>
      <x:c r="L117" s="284" t="str">
        <x:v>Crítica</x:v>
      </x:c>
      <x:c r="M117" s="293" t="n">
        <x:v>6</x:v>
      </x:c>
      <x:c r="N117" s="284" t="str">
        <x:v>RPG-M5-W18-06</x:v>
      </x:c>
      <x:c r="O117" s="284" t="str">
        <x:v>E10</x:v>
      </x:c>
      <x:c r="P117" s="284" t="str">
        <x:v>Não iniciada</x:v>
      </x:c>
      <x:c r="Q117" s="296" t="n">
        <x:f>IF(P117="Concluída",1,IF(P117="Em andamento",0.5,IF(P117="Bloqueada",0.25,0)))</x:f>
        <x:v>0</x:v>
      </x:c>
      <x:c r="R117" s="285" t="str">
        <x:v>https://docs.github.com/</x:v>
      </x:c>
    </x:row>
    <x:row r="118" ht="58" customHeight="1">
      <x:c r="A118" s="283" t="str">
        <x:v>RPG-M5-W19-02</x:v>
      </x:c>
      <x:c r="B118" s="284" t="str">
        <x:v>Mês 5</x:v>
      </x:c>
      <x:c r="C118" s="284" t="str">
        <x:v>Semana 19</x:v>
      </x:c>
      <x:c r="D118" s="290" t="n">
        <x:v>46385</x:v>
      </x:c>
      <x:c r="E118" s="284" t="str">
        <x:v>Qualidade e operação</x:v>
      </x:c>
      <x:c r="F118" s="284" t="str">
        <x:v>Documentação</x:v>
      </x:c>
      <x:c r="G118" s="284" t="str">
        <x:v>API</x:v>
      </x:c>
      <x:c r="H118" s="284" t="str">
        <x:v>Completar OpenAPI</x:v>
      </x:c>
      <x:c r="I118" s="284" t="str">
        <x:v>Documente security schemes, endpoints, schemas, exemplos, paginação e Problem Details; valide no build.</x:v>
      </x:c>
      <x:c r="J118" s="284" t="str">
        <x:v>Todos os endpoints públicos aparecem e exemplos correspondem aos testes.</x:v>
      </x:c>
      <x:c r="K118" s="284" t="str">
        <x:v>OpenAPI JSON/YAML e Swagger UI</x:v>
      </x:c>
      <x:c r="L118" s="284" t="str">
        <x:v>Crítica</x:v>
      </x:c>
      <x:c r="M118" s="293" t="n">
        <x:v>6</x:v>
      </x:c>
      <x:c r="N118" s="284" t="str">
        <x:v>RPG-M5-W19-01</x:v>
      </x:c>
      <x:c r="O118" s="284" t="str">
        <x:v>E10</x:v>
      </x:c>
      <x:c r="P118" s="284" t="str">
        <x:v>Não iniciada</x:v>
      </x:c>
      <x:c r="Q118" s="296" t="n">
        <x:f>IF(P118="Concluída",1,IF(P118="Em andamento",0.5,IF(P118="Bloqueada",0.25,0)))</x:f>
        <x:v>0</x:v>
      </x:c>
      <x:c r="R118" s="285" t="str">
        <x:v>https://springdoc.org/</x:v>
      </x:c>
    </x:row>
    <x:row r="119" ht="58" customHeight="1">
      <x:c r="A119" s="283" t="str">
        <x:v>RPG-M5-W19-03</x:v>
      </x:c>
      <x:c r="B119" s="284" t="str">
        <x:v>Mês 5</x:v>
      </x:c>
      <x:c r="C119" s="284" t="str">
        <x:v>Semana 19</x:v>
      </x:c>
      <x:c r="D119" s="290" t="n">
        <x:v>46386</x:v>
      </x:c>
      <x:c r="E119" s="284" t="str">
        <x:v>Qualidade e operação</x:v>
      </x:c>
      <x:c r="F119" s="284" t="str">
        <x:v>Testes</x:v>
      </x:c>
      <x:c r="G119" s="284" t="str">
        <x:v>Bruno</x:v>
      </x:c>
      <x:c r="H119" s="284" t="str">
        <x:v>Automatizar collection runner</x:v>
      </x:c>
      <x:c r="I119" s="284" t="str">
        <x:v>Crie fluxo health -&gt; register -&gt; login -&gt; character -&gt; battle -&gt; quest; gere dados e asserts.</x:v>
      </x:c>
      <x:c r="J119" s="284" t="str">
        <x:v>Runner executa local e público sem edição manual.</x:v>
      </x:c>
      <x:c r="K119" s="284" t="str">
        <x:v>bruno/RPG-Arena</x:v>
      </x:c>
      <x:c r="L119" s="284" t="str">
        <x:v>Alta</x:v>
      </x:c>
      <x:c r="M119" s="293" t="n">
        <x:v>5</x:v>
      </x:c>
      <x:c r="N119" s="284" t="str">
        <x:v>RPG-M5-W19-02</x:v>
      </x:c>
      <x:c r="O119" s="284" t="str">
        <x:v>E10</x:v>
      </x:c>
      <x:c r="P119" s="284" t="str">
        <x:v>Não iniciada</x:v>
      </x:c>
      <x:c r="Q119" s="296" t="n">
        <x:f>IF(P119="Concluída",1,IF(P119="Em andamento",0.5,IF(P119="Bloqueada",0.25,0)))</x:f>
        <x:v>0</x:v>
      </x:c>
      <x:c r="R119" s="285" t="str">
        <x:v>https://docs.usebruno.com/</x:v>
      </x:c>
    </x:row>
    <x:row r="120" ht="58" customHeight="1">
      <x:c r="A120" s="283" t="str">
        <x:v>RPG-M5-W19-04</x:v>
      </x:c>
      <x:c r="B120" s="284" t="str">
        <x:v>Mês 5</x:v>
      </x:c>
      <x:c r="C120" s="284" t="str">
        <x:v>Semana 19</x:v>
      </x:c>
      <x:c r="D120" s="290" t="n">
        <x:v>46387</x:v>
      </x:c>
      <x:c r="E120" s="284" t="str">
        <x:v>Qualidade e operação</x:v>
      </x:c>
      <x:c r="F120" s="284" t="str">
        <x:v>Documentação</x:v>
      </x:c>
      <x:c r="G120" s="284" t="str">
        <x:v>Arquitetura</x:v>
      </x:c>
      <x:c r="H120" s="284" t="str">
        <x:v>Atualizar diagramas e ADRs</x:v>
      </x:c>
      <x:c r="I120" s="284" t="str">
        <x:v>Crie C4 contexto/container, módulos, ERD e sequência de batalha; marque ADRs substituídos.</x:v>
      </x:c>
      <x:c r="J120" s="284" t="str">
        <x:v>Diagramas refletem o código e decisões possuem status correto.</x:v>
      </x:c>
      <x:c r="K120" s="284" t="str">
        <x:v>docs/architecture e docs/adr</x:v>
      </x:c>
      <x:c r="L120" s="284" t="str">
        <x:v>Alta</x:v>
      </x:c>
      <x:c r="M120" s="293" t="n">
        <x:v>5</x:v>
      </x:c>
      <x:c r="N120" s="284" t="str">
        <x:v>RPG-M5-W19-03</x:v>
      </x:c>
      <x:c r="O120" s="284" t="str">
        <x:v>E10</x:v>
      </x:c>
      <x:c r="P120" s="284" t="str">
        <x:v>Não iniciada</x:v>
      </x:c>
      <x:c r="Q120" s="296" t="n">
        <x:f>IF(P120="Concluída",1,IF(P120="Em andamento",0.5,IF(P120="Bloqueada",0.25,0)))</x:f>
        <x:v>0</x:v>
      </x:c>
      <x:c r="R120" s="285" t="str">
        <x:v>https://mermaid.js.org/</x:v>
      </x:c>
    </x:row>
    <x:row r="121" ht="58" customHeight="1">
      <x:c r="A121" s="283" t="str">
        <x:v>RPG-M5-W19-05</x:v>
      </x:c>
      <x:c r="B121" s="284" t="str">
        <x:v>Mês 5</x:v>
      </x:c>
      <x:c r="C121" s="284" t="str">
        <x:v>Semana 19</x:v>
      </x:c>
      <x:c r="D121" s="290" t="n">
        <x:v>46388</x:v>
      </x:c>
      <x:c r="E121" s="284" t="str">
        <x:v>Qualidade e operação</x:v>
      </x:c>
      <x:c r="F121" s="284" t="str">
        <x:v>Open source</x:v>
      </x:c>
      <x:c r="G121" s="284" t="str">
        <x:v>Contribuição</x:v>
      </x:c>
      <x:c r="H121" s="284" t="str">
        <x:v>Criar guia de onboarding</x:v>
      </x:c>
      <x:c r="I121" s="284" t="str">
        <x:v>Explique ambiente, branches, commits, issue, testes, PR, DoD e debug comum.</x:v>
      </x:c>
      <x:c r="J121" s="284" t="str">
        <x:v>Contribuidor realiza primeira mudança seguindo apenas o guia.</x:v>
      </x:c>
      <x:c r="K121" s="284" t="str">
        <x:v>CONTRIBUTING.md</x:v>
      </x:c>
      <x:c r="L121" s="284" t="str">
        <x:v>Alta</x:v>
      </x:c>
      <x:c r="M121" s="293" t="n">
        <x:v>4</x:v>
      </x:c>
      <x:c r="N121" s="284" t="str">
        <x:v>RPG-M5-W19-04</x:v>
      </x:c>
      <x:c r="O121" s="284" t="str">
        <x:v>E10</x:v>
      </x:c>
      <x:c r="P121" s="284" t="str">
        <x:v>Não iniciada</x:v>
      </x:c>
      <x:c r="Q121" s="296" t="n">
        <x:f>IF(P121="Concluída",1,IF(P121="Em andamento",0.5,IF(P121="Bloqueada",0.25,0)))</x:f>
        <x:v>0</x:v>
      </x:c>
      <x:c r="R121" s="285" t="str">
        <x:v>https://docs.github.com/</x:v>
      </x:c>
    </x:row>
    <x:row r="122" ht="58" customHeight="1">
      <x:c r="A122" s="283" t="str">
        <x:v>RPG-M5-W19-06</x:v>
      </x:c>
      <x:c r="B122" s="284" t="str">
        <x:v>Mês 5</x:v>
      </x:c>
      <x:c r="C122" s="284" t="str">
        <x:v>Semana 19</x:v>
      </x:c>
      <x:c r="D122" s="290" t="n">
        <x:v>46390</x:v>
      </x:c>
      <x:c r="E122" s="284" t="str">
        <x:v>Qualidade e operação</x:v>
      </x:c>
      <x:c r="F122" s="284" t="str">
        <x:v>Conteúdo</x:v>
      </x:c>
      <x:c r="G122" s="284" t="str">
        <x:v>YouTube</x:v>
      </x:c>
      <x:c r="H122" s="284" t="str">
        <x:v>Produzir Short 19 e capturar episódio 10</x:v>
      </x:c>
      <x:c r="I122" s="284" t="str">
        <x:v>Mostre OpenAPI, Bruno Runner e diagrama que realmente acompanha o código.</x:v>
      </x:c>
      <x:c r="J122" s="284" t="str">
        <x:v>Short publicado e assets de documentação organizados.</x:v>
      </x:c>
      <x:c r="K122" s="284" t="str">
        <x:v>youtube/ep-10/raw e Short 19</x:v>
      </x:c>
      <x:c r="L122" s="284" t="str">
        <x:v>Média</x:v>
      </x:c>
      <x:c r="M122" s="293" t="n">
        <x:v>3</x:v>
      </x:c>
      <x:c r="N122" s="284" t="str">
        <x:v>RPG-M5-W19-05</x:v>
      </x:c>
      <x:c r="O122" s="284" t="str">
        <x:v>E10</x:v>
      </x:c>
      <x:c r="P122" s="284" t="str">
        <x:v>Não iniciada</x:v>
      </x:c>
      <x:c r="Q122" s="296" t="n">
        <x:f>IF(P122="Concluída",1,IF(P122="Em andamento",0.5,IF(P122="Bloqueada",0.25,0)))</x:f>
        <x:v>0</x:v>
      </x:c>
      <x:c r="R122" s="285" t="str">
        <x:v>https://www.youtube.com/creators/</x:v>
      </x:c>
    </x:row>
    <x:row r="123" ht="58" customHeight="1">
      <x:c r="A123" s="283" t="str">
        <x:v>RPG-M5-W20-01</x:v>
      </x:c>
      <x:c r="B123" s="284" t="str">
        <x:v>Mês 5</x:v>
      </x:c>
      <x:c r="C123" s="284" t="str">
        <x:v>Semana 20</x:v>
      </x:c>
      <x:c r="D123" s="290" t="n">
        <x:v>46391</x:v>
      </x:c>
      <x:c r="E123" s="284" t="str">
        <x:v>Qualidade e operação</x:v>
      </x:c>
      <x:c r="F123" s="284" t="str">
        <x:v>Desenvolvimento</x:v>
      </x:c>
      <x:c r="G123" s="284" t="str">
        <x:v>Logs</x:v>
      </x:c>
      <x:c r="H123" s="284" t="str">
        <x:v>Implementar logs estruturados</x:v>
      </x:c>
      <x:c r="I123" s="284" t="str">
        <x:v>Padronize level, correlationId, operation, duração e ids seguros; remova tokens/senhas.</x:v>
      </x:c>
      <x:c r="J123" s="284" t="str">
        <x:v>Uma requisição é rastreável do HTTP ao banco sem dado sensível.</x:v>
      </x:c>
      <x:c r="K123" s="284" t="str">
        <x:v>Logging configuration</x:v>
      </x:c>
      <x:c r="L123" s="284" t="str">
        <x:v>Alta</x:v>
      </x:c>
      <x:c r="M123" s="293" t="n">
        <x:v>5</x:v>
      </x:c>
      <x:c r="N123" s="284" t="str">
        <x:v>RPG-M5-W19-06</x:v>
      </x:c>
      <x:c r="O123" s="284" t="str">
        <x:v>E10</x:v>
      </x:c>
      <x:c r="P123" s="284" t="str">
        <x:v>Não iniciada</x:v>
      </x:c>
      <x:c r="Q123" s="296" t="n">
        <x:f>IF(P123="Concluída",1,IF(P123="Em andamento",0.5,IF(P123="Bloqueada",0.25,0)))</x:f>
        <x:v>0</x:v>
      </x:c>
      <x:c r="R123" s="285" t="str">
        <x:v>https://docs.spring.io/spring-boot/reference/actuator/</x:v>
      </x:c>
    </x:row>
    <x:row r="124" ht="58" customHeight="1">
      <x:c r="A124" s="283" t="str">
        <x:v>RPG-M5-W20-02</x:v>
      </x:c>
      <x:c r="B124" s="284" t="str">
        <x:v>Mês 5</x:v>
      </x:c>
      <x:c r="C124" s="284" t="str">
        <x:v>Semana 20</x:v>
      </x:c>
      <x:c r="D124" s="290" t="n">
        <x:v>46392</x:v>
      </x:c>
      <x:c r="E124" s="284" t="str">
        <x:v>Qualidade e operação</x:v>
      </x:c>
      <x:c r="F124" s="284" t="str">
        <x:v>Desenvolvimento</x:v>
      </x:c>
      <x:c r="G124" s="284" t="str">
        <x:v>Métricas</x:v>
      </x:c>
      <x:c r="H124" s="284" t="str">
        <x:v>Adicionar métricas técnicas e de negócio</x:v>
      </x:c>
      <x:c r="I124" s="284" t="str">
        <x:v>Exponha latência, erros, pool, batalhas, vitórias e falhas com tags de baixa cardinalidade.</x:v>
      </x:c>
      <x:c r="J124" s="284" t="str">
        <x:v>Métricas respondem e não criam cardinalidade por usuário/personagem.</x:v>
      </x:c>
      <x:c r="K124" s="284" t="str">
        <x:v>Micrometer metrics</x:v>
      </x:c>
      <x:c r="L124" s="284" t="str">
        <x:v>Alta</x:v>
      </x:c>
      <x:c r="M124" s="293" t="n">
        <x:v>5</x:v>
      </x:c>
      <x:c r="N124" s="284" t="str">
        <x:v>RPG-M5-W20-01</x:v>
      </x:c>
      <x:c r="O124" s="284" t="str">
        <x:v>E10</x:v>
      </x:c>
      <x:c r="P124" s="284" t="str">
        <x:v>Não iniciada</x:v>
      </x:c>
      <x:c r="Q124" s="296" t="n">
        <x:f>IF(P124="Concluída",1,IF(P124="Em andamento",0.5,IF(P124="Bloqueada",0.25,0)))</x:f>
        <x:v>0</x:v>
      </x:c>
      <x:c r="R124" s="285" t="str">
        <x:v>https://docs.micrometer.io/micrometer/reference/</x:v>
      </x:c>
    </x:row>
    <x:row r="125" ht="58" customHeight="1">
      <x:c r="A125" s="283" t="str">
        <x:v>RPG-M5-W20-03</x:v>
      </x:c>
      <x:c r="B125" s="284" t="str">
        <x:v>Mês 5</x:v>
      </x:c>
      <x:c r="C125" s="284" t="str">
        <x:v>Semana 20</x:v>
      </x:c>
      <x:c r="D125" s="290" t="n">
        <x:v>46393</x:v>
      </x:c>
      <x:c r="E125" s="284" t="str">
        <x:v>Qualidade e operação</x:v>
      </x:c>
      <x:c r="F125" s="284" t="str">
        <x:v>Desenvolvimento</x:v>
      </x:c>
      <x:c r="G125" s="284" t="str">
        <x:v>Desempenho</x:v>
      </x:c>
      <x:c r="H125" s="284" t="str">
        <x:v>Analisar queries e índices</x:v>
      </x:c>
      <x:c r="I125" s="284" t="str">
        <x:v>Detecte N+1, use EXPLAIN ANALYZE em consultas críticas e ajuste índices com evidência.</x:v>
      </x:c>
      <x:c r="J125" s="284" t="str">
        <x:v>Relatório compara plano antes/depois e remove N+1.</x:v>
      </x:c>
      <x:c r="K125" s="284" t="str">
        <x:v>docs/performance/database.md</x:v>
      </x:c>
      <x:c r="L125" s="284" t="str">
        <x:v>Crítica</x:v>
      </x:c>
      <x:c r="M125" s="293" t="n">
        <x:v>6</x:v>
      </x:c>
      <x:c r="N125" s="284" t="str">
        <x:v>RPG-M5-W20-02</x:v>
      </x:c>
      <x:c r="O125" s="284" t="str">
        <x:v>E10</x:v>
      </x:c>
      <x:c r="P125" s="284" t="str">
        <x:v>Não iniciada</x:v>
      </x:c>
      <x:c r="Q125" s="296" t="n">
        <x:f>IF(P125="Concluída",1,IF(P125="Em andamento",0.5,IF(P125="Bloqueada",0.25,0)))</x:f>
        <x:v>0</x:v>
      </x:c>
      <x:c r="R125" s="285" t="str">
        <x:v>https://www.postgresql.org/docs/current/</x:v>
      </x:c>
    </x:row>
    <x:row r="126" ht="58" customHeight="1">
      <x:c r="A126" s="283" t="str">
        <x:v>RPG-M5-W20-04</x:v>
      </x:c>
      <x:c r="B126" s="284" t="str">
        <x:v>Mês 5</x:v>
      </x:c>
      <x:c r="C126" s="284" t="str">
        <x:v>Semana 20</x:v>
      </x:c>
      <x:c r="D126" s="290" t="n">
        <x:v>46394</x:v>
      </x:c>
      <x:c r="E126" s="284" t="str">
        <x:v>Qualidade e operação</x:v>
      </x:c>
      <x:c r="F126" s="284" t="str">
        <x:v>Desenvolvimento</x:v>
      </x:c>
      <x:c r="G126" s="284" t="str">
        <x:v>Segurança</x:v>
      </x:c>
      <x:c r="H126" s="284" t="str">
        <x:v>Executar revisão OWASP</x:v>
      </x:c>
      <x:c r="I126" s="284" t="str">
        <x:v>Revise auth, autorização, validação, CORS, headers, rate limit, logs, segredos e dependências.</x:v>
      </x:c>
      <x:c r="J126" s="284" t="str">
        <x:v>Checklist possui evidência e issue para cada risco restante.</x:v>
      </x:c>
      <x:c r="K126" s="284" t="str">
        <x:v>docs/security/review.md</x:v>
      </x:c>
      <x:c r="L126" s="284" t="str">
        <x:v>Crítica</x:v>
      </x:c>
      <x:c r="M126" s="293" t="n">
        <x:v>6</x:v>
      </x:c>
      <x:c r="N126" s="284" t="str">
        <x:v>RPG-M5-W20-03</x:v>
      </x:c>
      <x:c r="O126" s="284" t="str">
        <x:v>E10</x:v>
      </x:c>
      <x:c r="P126" s="284" t="str">
        <x:v>Não iniciada</x:v>
      </x:c>
      <x:c r="Q126" s="296" t="n">
        <x:f>IF(P126="Concluída",1,IF(P126="Em andamento",0.5,IF(P126="Bloqueada",0.25,0)))</x:f>
        <x:v>0</x:v>
      </x:c>
      <x:c r="R126" s="285" t="str">
        <x:v>https://cheatsheetseries.owasp.org/</x:v>
      </x:c>
    </x:row>
    <x:row r="127" ht="58" customHeight="1">
      <x:c r="A127" s="283" t="str">
        <x:v>RPG-M5-W20-05</x:v>
      </x:c>
      <x:c r="B127" s="284" t="str">
        <x:v>Mês 5</x:v>
      </x:c>
      <x:c r="C127" s="284" t="str">
        <x:v>Semana 20</x:v>
      </x:c>
      <x:c r="D127" s="290" t="n">
        <x:v>46395</x:v>
      </x:c>
      <x:c r="E127" s="284" t="str">
        <x:v>Qualidade e operação</x:v>
      </x:c>
      <x:c r="F127" s="284" t="str">
        <x:v>Entrega</x:v>
      </x:c>
      <x:c r="G127" s="284" t="str">
        <x:v>CI/Release</x:v>
      </x:c>
      <x:c r="H127" s="284" t="str">
        <x:v>Criar quality gates e RC</x:v>
      </x:c>
      <x:c r="I127" s="284" t="str">
        <x:v>Execute testes, cobertura, ArchUnit, build Docker e scan de dependências; publique v1.0.0-rc.1.</x:v>
      </x:c>
      <x:c r="J127" s="284" t="str">
        <x:v>Main só recebe merge verde e RC passa regressão completa.</x:v>
      </x:c>
      <x:c r="K127" s="284" t="str">
        <x:v>Workflow e release candidate</x:v>
      </x:c>
      <x:c r="L127" s="284" t="str">
        <x:v>Crítica</x:v>
      </x:c>
      <x:c r="M127" s="293" t="n">
        <x:v>6</x:v>
      </x:c>
      <x:c r="N127" s="284" t="str">
        <x:v>RPG-M5-W20-04</x:v>
      </x:c>
      <x:c r="O127" s="284" t="str">
        <x:v>E10</x:v>
      </x:c>
      <x:c r="P127" s="284" t="str">
        <x:v>Não iniciada</x:v>
      </x:c>
      <x:c r="Q127" s="296" t="n">
        <x:f>IF(P127="Concluída",1,IF(P127="Em andamento",0.5,IF(P127="Bloqueada",0.25,0)))</x:f>
        <x:v>0</x:v>
      </x:c>
      <x:c r="R127" s="285" t="str">
        <x:v>https://docs.github.com/actions</x:v>
      </x:c>
    </x:row>
    <x:row r="128" ht="58" customHeight="1">
      <x:c r="A128" s="283" t="str">
        <x:v>RPG-M5-W20-06</x:v>
      </x:c>
      <x:c r="B128" s="284" t="str">
        <x:v>Mês 5</x:v>
      </x:c>
      <x:c r="C128" s="284" t="str">
        <x:v>Semana 20</x:v>
      </x:c>
      <x:c r="D128" s="290" t="n">
        <x:v>46397</x:v>
      </x:c>
      <x:c r="E128" s="284" t="str">
        <x:v>Qualidade e operação</x:v>
      </x:c>
      <x:c r="F128" s="284" t="str">
        <x:v>Conteúdo</x:v>
      </x:c>
      <x:c r="G128" s="284" t="str">
        <x:v>YouTube</x:v>
      </x:c>
      <x:c r="H128" s="284" t="str">
        <x:v>Publicar episódio 10</x:v>
      </x:c>
      <x:c r="I128" s="284" t="str">
        <x:v>Mostre logs, métricas, N+1, EXPLAIN, checklist OWASP e quality gates.</x:v>
      </x:c>
      <x:c r="J128" s="284" t="str">
        <x:v>Vídeo publicado com resultados antes/depois e limites honestos.</x:v>
      </x:c>
      <x:c r="K128" s="284" t="str">
        <x:v>Episódio 10 publicado</x:v>
      </x:c>
      <x:c r="L128" s="284" t="str">
        <x:v>Alta</x:v>
      </x:c>
      <x:c r="M128" s="293" t="n">
        <x:v>4</x:v>
      </x:c>
      <x:c r="N128" s="284" t="str">
        <x:v>RPG-M5-W20-05</x:v>
      </x:c>
      <x:c r="O128" s="284" t="str">
        <x:v>E10</x:v>
      </x:c>
      <x:c r="P128" s="284" t="str">
        <x:v>Não iniciada</x:v>
      </x:c>
      <x:c r="Q128" s="296" t="n">
        <x:f>IF(P128="Concluída",1,IF(P128="Em andamento",0.5,IF(P128="Bloqueada",0.25,0)))</x:f>
        <x:v>0</x:v>
      </x:c>
      <x:c r="R128" s="285" t="str">
        <x:v>https://www.youtube.com/creators/</x:v>
      </x:c>
    </x:row>
    <x:row r="129" ht="58" customHeight="1">
      <x:c r="A129" s="283" t="str">
        <x:v>RPG-M6-W21-01</x:v>
      </x:c>
      <x:c r="B129" s="284" t="str">
        <x:v>Mês 6</x:v>
      </x:c>
      <x:c r="C129" s="284" t="str">
        <x:v>Semana 21</x:v>
      </x:c>
      <x:c r="D129" s="290" t="n">
        <x:v>46398</x:v>
      </x:c>
      <x:c r="E129" s="284" t="str">
        <x:v>Publicação e portfólio</x:v>
      </x:c>
      <x:c r="F129" s="284" t="str">
        <x:v>Documentação</x:v>
      </x:c>
      <x:c r="G129" s="284" t="str">
        <x:v>Decisão</x:v>
      </x:c>
      <x:c r="H129" s="284" t="str">
        <x:v>Escolher plataforma e registrar ADR</x:v>
      </x:c>
      <x:c r="I129" s="284" t="str">
        <x:v>Compare custo, PostgreSQL, HTTPS, logs, métricas, secrets, rollback e limites; escolha uma opção.</x:v>
      </x:c>
      <x:c r="J129" s="284" t="str">
        <x:v>ADR explica critérios, escolha, riscos e plano de saída.</x:v>
      </x:c>
      <x:c r="K129" s="284" t="str">
        <x:v>docs/adr/deployment.md</x:v>
      </x:c>
      <x:c r="L129" s="284" t="str">
        <x:v>Alta</x:v>
      </x:c>
      <x:c r="M129" s="293" t="n">
        <x:v>4</x:v>
      </x:c>
      <x:c r="N129" s="284" t="str">
        <x:v>RPG-M5-W20-06</x:v>
      </x:c>
      <x:c r="O129" s="284" t="str">
        <x:v>E11</x:v>
      </x:c>
      <x:c r="P129" s="284" t="str">
        <x:v>Não iniciada</x:v>
      </x:c>
      <x:c r="Q129" s="296" t="n">
        <x:f>IF(P129="Concluída",1,IF(P129="Em andamento",0.5,IF(P129="Bloqueada",0.25,0)))</x:f>
        <x:v>0</x:v>
      </x:c>
      <x:c r="R129" s="285" t="str">
        <x:v>https://adr.github.io/</x:v>
      </x:c>
    </x:row>
    <x:row r="130" ht="58" customHeight="1">
      <x:c r="A130" s="283" t="str">
        <x:v>RPG-M6-W21-02</x:v>
      </x:c>
      <x:c r="B130" s="284" t="str">
        <x:v>Mês 6</x:v>
      </x:c>
      <x:c r="C130" s="284" t="str">
        <x:v>Semana 21</x:v>
      </x:c>
      <x:c r="D130" s="290" t="n">
        <x:v>46399</x:v>
      </x:c>
      <x:c r="E130" s="284" t="str">
        <x:v>Publicação e portfólio</x:v>
      </x:c>
      <x:c r="F130" s="284" t="str">
        <x:v>Desenvolvimento</x:v>
      </x:c>
      <x:c r="G130" s="284" t="str">
        <x:v>Deploy</x:v>
      </x:c>
      <x:c r="H130" s="284" t="str">
        <x:v>Provisionar banco e aplicação</x:v>
      </x:c>
      <x:c r="I130" s="284" t="str">
        <x:v>Crie banco, usuário de menor privilégio, variáveis e deploy da imagem; não copie segredo para arquivo.</x:v>
      </x:c>
      <x:c r="J130" s="284" t="str">
        <x:v>API responde por HTTPS e banco aceita apenas conexão necessária.</x:v>
      </x:c>
      <x:c r="K130" s="284" t="str">
        <x:v>Ambiente público</x:v>
      </x:c>
      <x:c r="L130" s="284" t="str">
        <x:v>Crítica</x:v>
      </x:c>
      <x:c r="M130" s="293" t="n">
        <x:v>7</x:v>
      </x:c>
      <x:c r="N130" s="284" t="str">
        <x:v>RPG-M6-W21-01</x:v>
      </x:c>
      <x:c r="O130" s="284" t="str">
        <x:v>E11</x:v>
      </x:c>
      <x:c r="P130" s="284" t="str">
        <x:v>Não iniciada</x:v>
      </x:c>
      <x:c r="Q130" s="296" t="n">
        <x:f>IF(P130="Concluída",1,IF(P130="Em andamento",0.5,IF(P130="Bloqueada",0.25,0)))</x:f>
        <x:v>0</x:v>
      </x:c>
      <x:c r="R130" s="285" t="str">
        <x:v>https://docs.spring.io/spring-boot/</x:v>
      </x:c>
    </x:row>
    <x:row r="131" ht="58" customHeight="1">
      <x:c r="A131" s="283" t="str">
        <x:v>RPG-M6-W21-03</x:v>
      </x:c>
      <x:c r="B131" s="284" t="str">
        <x:v>Mês 6</x:v>
      </x:c>
      <x:c r="C131" s="284" t="str">
        <x:v>Semana 21</x:v>
      </x:c>
      <x:c r="D131" s="290" t="n">
        <x:v>46400</x:v>
      </x:c>
      <x:c r="E131" s="284" t="str">
        <x:v>Publicação e portfólio</x:v>
      </x:c>
      <x:c r="F131" s="284" t="str">
        <x:v>Desenvolvimento</x:v>
      </x:c>
      <x:c r="G131" s="284" t="str">
        <x:v>Migrations</x:v>
      </x:c>
      <x:c r="H131" s="284" t="str">
        <x:v>Controlar migrations em produção</x:v>
      </x:c>
      <x:c r="I131" s="284" t="str">
        <x:v>Defina etapa única de migração, timeout, backup e compatibilidade entre versão nova/antiga.</x:v>
      </x:c>
      <x:c r="J131" s="284" t="str">
        <x:v>Deploy concorrente não executa migration perigosa duas vezes.</x:v>
      </x:c>
      <x:c r="K131" s="284" t="str">
        <x:v>Pipeline/runbook de migration</x:v>
      </x:c>
      <x:c r="L131" s="284" t="str">
        <x:v>Crítica</x:v>
      </x:c>
      <x:c r="M131" s="293" t="n">
        <x:v>5</x:v>
      </x:c>
      <x:c r="N131" s="284" t="str">
        <x:v>RPG-M6-W21-02</x:v>
      </x:c>
      <x:c r="O131" s="284" t="str">
        <x:v>E11</x:v>
      </x:c>
      <x:c r="P131" s="284" t="str">
        <x:v>Não iniciada</x:v>
      </x:c>
      <x:c r="Q131" s="296" t="n">
        <x:f>IF(P131="Concluída",1,IF(P131="Em andamento",0.5,IF(P131="Bloqueada",0.25,0)))</x:f>
        <x:v>0</x:v>
      </x:c>
      <x:c r="R131" s="285" t="str">
        <x:v>https://documentation.red-gate.com/fd</x:v>
      </x:c>
    </x:row>
    <x:row r="132" ht="58" customHeight="1">
      <x:c r="A132" s="283" t="str">
        <x:v>RPG-M6-W21-04</x:v>
      </x:c>
      <x:c r="B132" s="284" t="str">
        <x:v>Mês 6</x:v>
      </x:c>
      <x:c r="C132" s="284" t="str">
        <x:v>Semana 21</x:v>
      </x:c>
      <x:c r="D132" s="290" t="n">
        <x:v>46401</x:v>
      </x:c>
      <x:c r="E132" s="284" t="str">
        <x:v>Publicação e portfólio</x:v>
      </x:c>
      <x:c r="F132" s="284" t="str">
        <x:v>Documentação</x:v>
      </x:c>
      <x:c r="G132" s="284" t="str">
        <x:v>Operação</x:v>
      </x:c>
      <x:c r="H132" s="284" t="str">
        <x:v>Criar backup e rollback</x:v>
      </x:c>
      <x:c r="I132" s="284" t="str">
        <x:v>Documente backup, restore, rollback da imagem e resposta a migration incompatível; ensaie uma recuperação.</x:v>
      </x:c>
      <x:c r="J132" s="284" t="str">
        <x:v>Runbook registra RPO/RTO aproximados e evidência do ensaio.</x:v>
      </x:c>
      <x:c r="K132" s="284" t="str">
        <x:v>docs/operations/runbook.md</x:v>
      </x:c>
      <x:c r="L132" s="284" t="str">
        <x:v>Crítica</x:v>
      </x:c>
      <x:c r="M132" s="293" t="n">
        <x:v>6</x:v>
      </x:c>
      <x:c r="N132" s="284" t="str">
        <x:v>RPG-M6-W21-03</x:v>
      </x:c>
      <x:c r="O132" s="284" t="str">
        <x:v>E11</x:v>
      </x:c>
      <x:c r="P132" s="284" t="str">
        <x:v>Não iniciada</x:v>
      </x:c>
      <x:c r="Q132" s="296" t="n">
        <x:f>IF(P132="Concluída",1,IF(P132="Em andamento",0.5,IF(P132="Bloqueada",0.25,0)))</x:f>
        <x:v>0</x:v>
      </x:c>
      <x:c r="R132" s="285" t="str">
        <x:v>https://www.postgresql.org/docs/current/</x:v>
      </x:c>
    </x:row>
    <x:row r="133" ht="58" customHeight="1">
      <x:c r="A133" s="283" t="str">
        <x:v>RPG-M6-W21-05</x:v>
      </x:c>
      <x:c r="B133" s="284" t="str">
        <x:v>Mês 6</x:v>
      </x:c>
      <x:c r="C133" s="284" t="str">
        <x:v>Semana 21</x:v>
      </x:c>
      <x:c r="D133" s="290" t="n">
        <x:v>46402</x:v>
      </x:c>
      <x:c r="E133" s="284" t="str">
        <x:v>Publicação e portfólio</x:v>
      </x:c>
      <x:c r="F133" s="284" t="str">
        <x:v>Operação</x:v>
      </x:c>
      <x:c r="G133" s="284" t="str">
        <x:v>Monitoramento</x:v>
      </x:c>
      <x:c r="H133" s="284" t="str">
        <x:v>Automatizar smoke e alertas</x:v>
      </x:c>
      <x:c r="I133" s="284" t="str">
        <x:v>Teste health, register, login, character e read; alerte indisponibilidade, erros e banco.</x:v>
      </x:c>
      <x:c r="J133" s="284" t="str">
        <x:v>Smoke pós-deploy passa e cada alerta aponta para ação do runbook.</x:v>
      </x:c>
      <x:c r="K133" s="284" t="str">
        <x:v>Smoke workflow e alerts</x:v>
      </x:c>
      <x:c r="L133" s="284" t="str">
        <x:v>Alta</x:v>
      </x:c>
      <x:c r="M133" s="293" t="n">
        <x:v>6</x:v>
      </x:c>
      <x:c r="N133" s="284" t="str">
        <x:v>RPG-M6-W21-04</x:v>
      </x:c>
      <x:c r="O133" s="284" t="str">
        <x:v>E11</x:v>
      </x:c>
      <x:c r="P133" s="284" t="str">
        <x:v>Não iniciada</x:v>
      </x:c>
      <x:c r="Q133" s="296" t="n">
        <x:f>IF(P133="Concluída",1,IF(P133="Em andamento",0.5,IF(P133="Bloqueada",0.25,0)))</x:f>
        <x:v>0</x:v>
      </x:c>
      <x:c r="R133" s="285" t="str">
        <x:v>https://docs.github.com/actions</x:v>
      </x:c>
    </x:row>
    <x:row r="134" ht="58" customHeight="1">
      <x:c r="A134" s="283" t="str">
        <x:v>RPG-M6-W21-06</x:v>
      </x:c>
      <x:c r="B134" s="284" t="str">
        <x:v>Mês 6</x:v>
      </x:c>
      <x:c r="C134" s="284" t="str">
        <x:v>Semana 21</x:v>
      </x:c>
      <x:c r="D134" s="290" t="n">
        <x:v>46404</x:v>
      </x:c>
      <x:c r="E134" s="284" t="str">
        <x:v>Publicação e portfólio</x:v>
      </x:c>
      <x:c r="F134" s="284" t="str">
        <x:v>Conteúdo</x:v>
      </x:c>
      <x:c r="G134" s="284" t="str">
        <x:v>YouTube</x:v>
      </x:c>
      <x:c r="H134" s="284" t="str">
        <x:v>Produzir Short 21 e capturar episódio 11</x:v>
      </x:c>
      <x:c r="I134" s="284" t="str">
        <x:v>Mostre deploy, secrets, healthcheck, smoke falhando e rollback.</x:v>
      </x:c>
      <x:c r="J134" s="284" t="str">
        <x:v>Short publicado sem expor credencial e gravações organizadas.</x:v>
      </x:c>
      <x:c r="K134" s="284" t="str">
        <x:v>youtube/ep-11/raw e Short 21</x:v>
      </x:c>
      <x:c r="L134" s="284" t="str">
        <x:v>Média</x:v>
      </x:c>
      <x:c r="M134" s="293" t="n">
        <x:v>3</x:v>
      </x:c>
      <x:c r="N134" s="284" t="str">
        <x:v>RPG-M6-W21-05</x:v>
      </x:c>
      <x:c r="O134" s="284" t="str">
        <x:v>E11</x:v>
      </x:c>
      <x:c r="P134" s="284" t="str">
        <x:v>Não iniciada</x:v>
      </x:c>
      <x:c r="Q134" s="296" t="n">
        <x:f>IF(P134="Concluída",1,IF(P134="Em andamento",0.5,IF(P134="Bloqueada",0.25,0)))</x:f>
        <x:v>0</x:v>
      </x:c>
      <x:c r="R134" s="285" t="str">
        <x:v>https://www.youtube.com/creators/</x:v>
      </x:c>
    </x:row>
    <x:row r="135" ht="58" customHeight="1">
      <x:c r="A135" s="283" t="str">
        <x:v>RPG-M6-W22-01</x:v>
      </x:c>
      <x:c r="B135" s="284" t="str">
        <x:v>Mês 6</x:v>
      </x:c>
      <x:c r="C135" s="284" t="str">
        <x:v>Semana 22</x:v>
      </x:c>
      <x:c r="D135" s="290" t="n">
        <x:v>46405</x:v>
      </x:c>
      <x:c r="E135" s="284" t="str">
        <x:v>Publicação e portfólio</x:v>
      </x:c>
      <x:c r="F135" s="284" t="str">
        <x:v>Open source</x:v>
      </x:c>
      <x:c r="G135" s="284" t="str">
        <x:v>Licença</x:v>
      </x:c>
      <x:c r="H135" s="284" t="str">
        <x:v>Revisar licença e terceiros</x:v>
      </x:c>
      <x:c r="I135" s="284" t="str">
        <x:v>Confirme MIT, dependências e origem de assets; registre atribuições quando necessário.</x:v>
      </x:c>
      <x:c r="J135" s="284" t="str">
        <x:v>Nenhum asset/dependência está sem licença compatível conhecida.</x:v>
      </x:c>
      <x:c r="K135" s="284" t="str">
        <x:v>LICENSE e THIRD_PARTY_NOTICES.md</x:v>
      </x:c>
      <x:c r="L135" s="284" t="str">
        <x:v>Crítica</x:v>
      </x:c>
      <x:c r="M135" s="293" t="n">
        <x:v>4</x:v>
      </x:c>
      <x:c r="N135" s="284" t="str">
        <x:v>RPG-M6-W21-06</x:v>
      </x:c>
      <x:c r="O135" s="284" t="str">
        <x:v>E11</x:v>
      </x:c>
      <x:c r="P135" s="284" t="str">
        <x:v>Não iniciada</x:v>
      </x:c>
      <x:c r="Q135" s="296" t="n">
        <x:f>IF(P135="Concluída",1,IF(P135="Em andamento",0.5,IF(P135="Bloqueada",0.25,0)))</x:f>
        <x:v>0</x:v>
      </x:c>
      <x:c r="R135" s="285" t="str">
        <x:v>https://choosealicense.com/</x:v>
      </x:c>
    </x:row>
    <x:row r="136" ht="58" customHeight="1">
      <x:c r="A136" s="283" t="str">
        <x:v>RPG-M6-W22-02</x:v>
      </x:c>
      <x:c r="B136" s="284" t="str">
        <x:v>Mês 6</x:v>
      </x:c>
      <x:c r="C136" s="284" t="str">
        <x:v>Semana 22</x:v>
      </x:c>
      <x:c r="D136" s="290" t="n">
        <x:v>46406</x:v>
      </x:c>
      <x:c r="E136" s="284" t="str">
        <x:v>Publicação e portfólio</x:v>
      </x:c>
      <x:c r="F136" s="284" t="str">
        <x:v>Open source</x:v>
      </x:c>
      <x:c r="G136" s="284" t="str">
        <x:v>Comunidade</x:v>
      </x:c>
      <x:c r="H136" s="284" t="str">
        <x:v>Adicionar conduta, segurança e suporte</x:v>
      </x:c>
      <x:c r="I136" s="284" t="str">
        <x:v>Crie CODE_OF_CONDUCT, SECURITY e SUPPORT com escopo, canais e resposta.</x:v>
      </x:c>
      <x:c r="J136" s="284" t="str">
        <x:v>Repositório informa comportamento, vulnerabilidades e dúvidas.</x:v>
      </x:c>
      <x:c r="K136" s="284" t="str">
        <x:v>Community files</x:v>
      </x:c>
      <x:c r="L136" s="284" t="str">
        <x:v>Alta</x:v>
      </x:c>
      <x:c r="M136" s="293" t="n">
        <x:v>4</x:v>
      </x:c>
      <x:c r="N136" s="284" t="str">
        <x:v>RPG-M6-W22-01</x:v>
      </x:c>
      <x:c r="O136" s="284" t="str">
        <x:v>E11</x:v>
      </x:c>
      <x:c r="P136" s="284" t="str">
        <x:v>Não iniciada</x:v>
      </x:c>
      <x:c r="Q136" s="296" t="n">
        <x:f>IF(P136="Concluída",1,IF(P136="Em andamento",0.5,IF(P136="Bloqueada",0.25,0)))</x:f>
        <x:v>0</x:v>
      </x:c>
      <x:c r="R136" s="285" t="str">
        <x:v>https://www.contributor-covenant.org/version/2/1/code_of_conduct/</x:v>
      </x:c>
    </x:row>
    <x:row r="137" ht="58" customHeight="1">
      <x:c r="A137" s="283" t="str">
        <x:v>RPG-M6-W22-03</x:v>
      </x:c>
      <x:c r="B137" s="284" t="str">
        <x:v>Mês 6</x:v>
      </x:c>
      <x:c r="C137" s="284" t="str">
        <x:v>Semana 22</x:v>
      </x:c>
      <x:c r="D137" s="290" t="n">
        <x:v>46407</x:v>
      </x:c>
      <x:c r="E137" s="284" t="str">
        <x:v>Publicação e portfólio</x:v>
      </x:c>
      <x:c r="F137" s="284" t="str">
        <x:v>Open source</x:v>
      </x:c>
      <x:c r="G137" s="284" t="str">
        <x:v>GitHub</x:v>
      </x:c>
      <x:c r="H137" s="284" t="str">
        <x:v>Criar templates de issue e PR</x:v>
      </x:c>
      <x:c r="I137" s="284" t="str">
        <x:v>Adicione bug, feature, task e PR com reprodução, aceite, teste e vínculo à issue.</x:v>
      </x:c>
      <x:c r="J137" s="284" t="str">
        <x:v>Toda nova issue/PR nasce com informações acionáveis.</x:v>
      </x:c>
      <x:c r="K137" s="284" t="str">
        <x:v>.github templates</x:v>
      </x:c>
      <x:c r="L137" s="284" t="str">
        <x:v>Alta</x:v>
      </x:c>
      <x:c r="M137" s="293" t="n">
        <x:v>4</x:v>
      </x:c>
      <x:c r="N137" s="284" t="str">
        <x:v>RPG-M6-W22-02</x:v>
      </x:c>
      <x:c r="O137" s="284" t="str">
        <x:v>E11</x:v>
      </x:c>
      <x:c r="P137" s="284" t="str">
        <x:v>Não iniciada</x:v>
      </x:c>
      <x:c r="Q137" s="296" t="n">
        <x:f>IF(P137="Concluída",1,IF(P137="Em andamento",0.5,IF(P137="Bloqueada",0.25,0)))</x:f>
        <x:v>0</x:v>
      </x:c>
      <x:c r="R137" s="285" t="str">
        <x:v>https://docs.github.com/</x:v>
      </x:c>
    </x:row>
    <x:row r="138" ht="58" customHeight="1">
      <x:c r="A138" s="283" t="str">
        <x:v>RPG-M6-W22-04</x:v>
      </x:c>
      <x:c r="B138" s="284" t="str">
        <x:v>Mês 6</x:v>
      </x:c>
      <x:c r="C138" s="284" t="str">
        <x:v>Semana 22</x:v>
      </x:c>
      <x:c r="D138" s="290" t="n">
        <x:v>46408</x:v>
      </x:c>
      <x:c r="E138" s="284" t="str">
        <x:v>Publicação e portfólio</x:v>
      </x:c>
      <x:c r="F138" s="284" t="str">
        <x:v>Gestão</x:v>
      </x:c>
      <x:c r="G138" s="284" t="str">
        <x:v>Gestão</x:v>
      </x:c>
      <x:c r="H138" s="284" t="str">
        <x:v>Organizar labels, milestones e board</x:v>
      </x:c>
      <x:c r="I138" s="284" t="str">
        <x:v>Use type, area, priority, difficulty e status; organize v1.0 e v1.1.</x:v>
      </x:c>
      <x:c r="J138" s="284" t="str">
        <x:v>Backlog público é filtrável e cada issue tem próximo passo.</x:v>
      </x:c>
      <x:c r="K138" s="284" t="str">
        <x:v>GitHub Project</x:v>
      </x:c>
      <x:c r="L138" s="284" t="str">
        <x:v>Média</x:v>
      </x:c>
      <x:c r="M138" s="293" t="n">
        <x:v>4</x:v>
      </x:c>
      <x:c r="N138" s="284" t="str">
        <x:v>RPG-M6-W22-03</x:v>
      </x:c>
      <x:c r="O138" s="284" t="str">
        <x:v>E11</x:v>
      </x:c>
      <x:c r="P138" s="284" t="str">
        <x:v>Não iniciada</x:v>
      </x:c>
      <x:c r="Q138" s="296" t="n">
        <x:f>IF(P138="Concluída",1,IF(P138="Em andamento",0.5,IF(P138="Bloqueada",0.25,0)))</x:f>
        <x:v>0</x:v>
      </x:c>
      <x:c r="R138" s="285" t="str">
        <x:v>https://docs.github.com/</x:v>
      </x:c>
    </x:row>
    <x:row r="139" ht="58" customHeight="1">
      <x:c r="A139" s="283" t="str">
        <x:v>RPG-M6-W22-05</x:v>
      </x:c>
      <x:c r="B139" s="284" t="str">
        <x:v>Mês 6</x:v>
      </x:c>
      <x:c r="C139" s="284" t="str">
        <x:v>Semana 22</x:v>
      </x:c>
      <x:c r="D139" s="290" t="n">
        <x:v>46409</x:v>
      </x:c>
      <x:c r="E139" s="284" t="str">
        <x:v>Publicação e portfólio</x:v>
      </x:c>
      <x:c r="F139" s="284" t="str">
        <x:v>Git/GitHub</x:v>
      </x:c>
      <x:c r="G139" s="284" t="str">
        <x:v>Colaboração</x:v>
      </x:c>
      <x:c r="H139" s="284" t="str">
        <x:v>Simular contribuição externa</x:v>
      </x:c>
      <x:c r="I139" s="284" t="str">
        <x:v>Abra issue, branch, mudança pequena, PR, review, correção e squash merge.</x:v>
      </x:c>
      <x:c r="J139" s="284" t="str">
        <x:v>Histórico prova o fluxo profissional do início ao fim.</x:v>
      </x:c>
      <x:c r="K139" s="284" t="str">
        <x:v>Issue e PR de simulação</x:v>
      </x:c>
      <x:c r="L139" s="284" t="str">
        <x:v>Alta</x:v>
      </x:c>
      <x:c r="M139" s="293" t="n">
        <x:v>5</x:v>
      </x:c>
      <x:c r="N139" s="284" t="str">
        <x:v>RPG-M6-W22-04</x:v>
      </x:c>
      <x:c r="O139" s="284" t="str">
        <x:v>E11</x:v>
      </x:c>
      <x:c r="P139" s="284" t="str">
        <x:v>Não iniciada</x:v>
      </x:c>
      <x:c r="Q139" s="296" t="n">
        <x:f>IF(P139="Concluída",1,IF(P139="Em andamento",0.5,IF(P139="Bloqueada",0.25,0)))</x:f>
        <x:v>0</x:v>
      </x:c>
      <x:c r="R139" s="285" t="str">
        <x:v>https://docs.github.com/</x:v>
      </x:c>
    </x:row>
    <x:row r="140" ht="58" customHeight="1">
      <x:c r="A140" s="283" t="str">
        <x:v>RPG-M6-W22-06</x:v>
      </x:c>
      <x:c r="B140" s="284" t="str">
        <x:v>Mês 6</x:v>
      </x:c>
      <x:c r="C140" s="284" t="str">
        <x:v>Semana 22</x:v>
      </x:c>
      <x:c r="D140" s="290" t="n">
        <x:v>46411</x:v>
      </x:c>
      <x:c r="E140" s="284" t="str">
        <x:v>Publicação e portfólio</x:v>
      </x:c>
      <x:c r="F140" s="284" t="str">
        <x:v>Conteúdo</x:v>
      </x:c>
      <x:c r="G140" s="284" t="str">
        <x:v>YouTube</x:v>
      </x:c>
      <x:c r="H140" s="284" t="str">
        <x:v>Publicar episódio 11</x:v>
      </x:c>
      <x:c r="I140" s="284" t="str">
        <x:v>Mostre deploy, runbook, templates e contribuição simulada sem transformar em tutorial de clique.</x:v>
      </x:c>
      <x:c r="J140" s="284" t="str">
        <x:v>Vídeo publicado e repositório recebe chamadas para contribuição.</x:v>
      </x:c>
      <x:c r="K140" s="284" t="str">
        <x:v>Episódio 11 publicado</x:v>
      </x:c>
      <x:c r="L140" s="284" t="str">
        <x:v>Alta</x:v>
      </x:c>
      <x:c r="M140" s="293" t="n">
        <x:v>4</x:v>
      </x:c>
      <x:c r="N140" s="284" t="str">
        <x:v>RPG-M6-W22-05</x:v>
      </x:c>
      <x:c r="O140" s="284" t="str">
        <x:v>E11</x:v>
      </x:c>
      <x:c r="P140" s="284" t="str">
        <x:v>Não iniciada</x:v>
      </x:c>
      <x:c r="Q140" s="296" t="n">
        <x:f>IF(P140="Concluída",1,IF(P140="Em andamento",0.5,IF(P140="Bloqueada",0.25,0)))</x:f>
        <x:v>0</x:v>
      </x:c>
      <x:c r="R140" s="285" t="str">
        <x:v>https://www.youtube.com/creators/</x:v>
      </x:c>
    </x:row>
    <x:row r="141" ht="58" customHeight="1">
      <x:c r="A141" s="283" t="str">
        <x:v>RPG-M6-W23-01</x:v>
      </x:c>
      <x:c r="B141" s="284" t="str">
        <x:v>Mês 6</x:v>
      </x:c>
      <x:c r="C141" s="284" t="str">
        <x:v>Semana 23</x:v>
      </x:c>
      <x:c r="D141" s="290" t="n">
        <x:v>46412</x:v>
      </x:c>
      <x:c r="E141" s="284" t="str">
        <x:v>Publicação e portfólio</x:v>
      </x:c>
      <x:c r="F141" s="284" t="str">
        <x:v>Testes</x:v>
      </x:c>
      <x:c r="G141" s="284" t="str">
        <x:v>Qualidade</x:v>
      </x:c>
      <x:c r="H141" s="284" t="str">
        <x:v>Executar bug bash</x:v>
      </x:c>
      <x:c r="I141" s="284" t="str">
        <x:v>Teste jornadas, concorrência, payload hostil, indisponibilidade e permissões; abra issues com severidade.</x:v>
      </x:c>
      <x:c r="J141" s="284" t="str">
        <x:v>Cada falha possui passos, evidência, impacto e decisão.</x:v>
      </x:c>
      <x:c r="K141" s="284" t="str">
        <x:v>Milestone v1.0 bug bash</x:v>
      </x:c>
      <x:c r="L141" s="284" t="str">
        <x:v>Crítica</x:v>
      </x:c>
      <x:c r="M141" s="293" t="n">
        <x:v>6</x:v>
      </x:c>
      <x:c r="N141" s="284" t="str">
        <x:v>RPG-M6-W22-06</x:v>
      </x:c>
      <x:c r="O141" s="284" t="str">
        <x:v>E12</x:v>
      </x:c>
      <x:c r="P141" s="284" t="str">
        <x:v>Não iniciada</x:v>
      </x:c>
      <x:c r="Q141" s="296" t="n">
        <x:f>IF(P141="Concluída",1,IF(P141="Em andamento",0.5,IF(P141="Bloqueada",0.25,0)))</x:f>
        <x:v>0</x:v>
      </x:c>
      <x:c r="R141" s="285" t="str">
        <x:v>https://docs.usebruno.com/</x:v>
      </x:c>
    </x:row>
    <x:row r="142" ht="58" customHeight="1">
      <x:c r="A142" s="283" t="str">
        <x:v>RPG-M6-W23-02</x:v>
      </x:c>
      <x:c r="B142" s="284" t="str">
        <x:v>Mês 6</x:v>
      </x:c>
      <x:c r="C142" s="284" t="str">
        <x:v>Semana 23</x:v>
      </x:c>
      <x:c r="D142" s="290" t="n">
        <x:v>46413</x:v>
      </x:c>
      <x:c r="E142" s="284" t="str">
        <x:v>Publicação e portfólio</x:v>
      </x:c>
      <x:c r="F142" s="284" t="str">
        <x:v>Desenvolvimento</x:v>
      </x:c>
      <x:c r="G142" s="284" t="str">
        <x:v>Correções</x:v>
      </x:c>
      <x:c r="H142" s="284" t="str">
        <x:v>Resolver blockers e regressões</x:v>
      </x:c>
      <x:c r="I142" s="284" t="str">
        <x:v>Trabalhe em PRs pequenos; toda correção crítica recebe teste de regressão.</x:v>
      </x:c>
      <x:c r="J142" s="284" t="str">
        <x:v>Nenhum blocker/critical fica aberto e CI permanece verde.</x:v>
      </x:c>
      <x:c r="K142" s="284" t="str">
        <x:v>PRs de estabilização</x:v>
      </x:c>
      <x:c r="L142" s="284" t="str">
        <x:v>Crítica</x:v>
      </x:c>
      <x:c r="M142" s="293" t="n">
        <x:v>8</x:v>
      </x:c>
      <x:c r="N142" s="284" t="str">
        <x:v>RPG-M6-W23-01</x:v>
      </x:c>
      <x:c r="O142" s="284" t="str">
        <x:v>E12</x:v>
      </x:c>
      <x:c r="P142" s="284" t="str">
        <x:v>Não iniciada</x:v>
      </x:c>
      <x:c r="Q142" s="296" t="n">
        <x:f>IF(P142="Concluída",1,IF(P142="Em andamento",0.5,IF(P142="Bloqueada",0.25,0)))</x:f>
        <x:v>0</x:v>
      </x:c>
      <x:c r="R142" s="285" t="str">
        <x:v>https://docs.github.com/</x:v>
      </x:c>
    </x:row>
    <x:row r="143" ht="58" customHeight="1">
      <x:c r="A143" s="283" t="str">
        <x:v>RPG-M6-W23-03</x:v>
      </x:c>
      <x:c r="B143" s="284" t="str">
        <x:v>Mês 6</x:v>
      </x:c>
      <x:c r="C143" s="284" t="str">
        <x:v>Semana 23</x:v>
      </x:c>
      <x:c r="D143" s="290" t="n">
        <x:v>46414</x:v>
      </x:c>
      <x:c r="E143" s="284" t="str">
        <x:v>Publicação e portfólio</x:v>
      </x:c>
      <x:c r="F143" s="284" t="str">
        <x:v>Testes</x:v>
      </x:c>
      <x:c r="G143" s="284" t="str">
        <x:v>Carga</x:v>
      </x:c>
      <x:c r="H143" s="284" t="str">
        <x:v>Executar teste de carga mínimo</x:v>
      </x:c>
      <x:c r="I143" s="284" t="str">
        <x:v>Defina cenário, volume, ambiente e percentis; teste leitura e comando sem derrubar dados reais.</x:v>
      </x:c>
      <x:c r="J143" s="284" t="str">
        <x:v>Relatório contém p50/p95/p99, erros, gargalo e limite conhecido.</x:v>
      </x:c>
      <x:c r="K143" s="284" t="str">
        <x:v>docs/performance/load-test.md</x:v>
      </x:c>
      <x:c r="L143" s="284" t="str">
        <x:v>Alta</x:v>
      </x:c>
      <x:c r="M143" s="293" t="n">
        <x:v>6</x:v>
      </x:c>
      <x:c r="N143" s="284" t="str">
        <x:v>RPG-M6-W23-02</x:v>
      </x:c>
      <x:c r="O143" s="284" t="str">
        <x:v>E12</x:v>
      </x:c>
      <x:c r="P143" s="284" t="str">
        <x:v>Não iniciada</x:v>
      </x:c>
      <x:c r="Q143" s="296" t="n">
        <x:f>IF(P143="Concluída",1,IF(P143="Em andamento",0.5,IF(P143="Bloqueada",0.25,0)))</x:f>
        <x:v>0</x:v>
      </x:c>
      <x:c r="R143" s="285" t="str">
        <x:v>https://docs.spring.io/spring-boot/reference/actuator/</x:v>
      </x:c>
    </x:row>
    <x:row r="144" ht="58" customHeight="1">
      <x:c r="A144" s="283" t="str">
        <x:v>RPG-M6-W23-04</x:v>
      </x:c>
      <x:c r="B144" s="284" t="str">
        <x:v>Mês 6</x:v>
      </x:c>
      <x:c r="C144" s="284" t="str">
        <x:v>Semana 23</x:v>
      </x:c>
      <x:c r="D144" s="290" t="n">
        <x:v>46415</x:v>
      </x:c>
      <x:c r="E144" s="284" t="str">
        <x:v>Publicação e portfólio</x:v>
      </x:c>
      <x:c r="F144" s="284" t="str">
        <x:v>Segurança</x:v>
      </x:c>
      <x:c r="G144" s="284" t="str">
        <x:v>Segurança</x:v>
      </x:c>
      <x:c r="H144" s="284" t="str">
        <x:v>Fazer revisão final</x:v>
      </x:c>
      <x:c r="I144" s="284" t="str">
        <x:v>Revalide secrets, permissões, dependências, rate limit, logs e endpoints administrativos.</x:v>
      </x:c>
      <x:c r="J144" s="284" t="str">
        <x:v>Nenhum finding crítico/alto permanece sem mitigação documentada.</x:v>
      </x:c>
      <x:c r="K144" s="284" t="str">
        <x:v>docs/security/final-review.md</x:v>
      </x:c>
      <x:c r="L144" s="284" t="str">
        <x:v>Crítica</x:v>
      </x:c>
      <x:c r="M144" s="293" t="n">
        <x:v>5</x:v>
      </x:c>
      <x:c r="N144" s="284" t="str">
        <x:v>RPG-M6-W23-03</x:v>
      </x:c>
      <x:c r="O144" s="284" t="str">
        <x:v>E12</x:v>
      </x:c>
      <x:c r="P144" s="284" t="str">
        <x:v>Não iniciada</x:v>
      </x:c>
      <x:c r="Q144" s="296" t="n">
        <x:f>IF(P144="Concluída",1,IF(P144="Em andamento",0.5,IF(P144="Bloqueada",0.25,0)))</x:f>
        <x:v>0</x:v>
      </x:c>
      <x:c r="R144" s="285" t="str">
        <x:v>https://cheatsheetseries.owasp.org/</x:v>
      </x:c>
    </x:row>
    <x:row r="145" ht="58" customHeight="1">
      <x:c r="A145" s="283" t="str">
        <x:v>RPG-M6-W23-05</x:v>
      </x:c>
      <x:c r="B145" s="284" t="str">
        <x:v>Mês 6</x:v>
      </x:c>
      <x:c r="C145" s="284" t="str">
        <x:v>Semana 23</x:v>
      </x:c>
      <x:c r="D145" s="290" t="n">
        <x:v>46416</x:v>
      </x:c>
      <x:c r="E145" s="284" t="str">
        <x:v>Publicação e portfólio</x:v>
      </x:c>
      <x:c r="F145" s="284" t="str">
        <x:v>Entrega</x:v>
      </x:c>
      <x:c r="G145" s="284" t="str">
        <x:v>Release</x:v>
      </x:c>
      <x:c r="H145" s="284" t="str">
        <x:v>Preparar changelog e upgrade</x:v>
      </x:c>
      <x:c r="I145" s="284" t="str">
        <x:v>Organize Added, Changed, Fixed, Security, breaking changes e instruções de migração.</x:v>
      </x:c>
      <x:c r="J145" s="284" t="str">
        <x:v>Changelog reconcilia PRs e um usuário da v0.4 atualiza para RC.</x:v>
      </x:c>
      <x:c r="K145" s="284" t="str">
        <x:v>CHANGELOG.md e v1.0 checklist</x:v>
      </x:c>
      <x:c r="L145" s="284" t="str">
        <x:v>Alta</x:v>
      </x:c>
      <x:c r="M145" s="293" t="n">
        <x:v>5</x:v>
      </x:c>
      <x:c r="N145" s="284" t="str">
        <x:v>RPG-M6-W23-04</x:v>
      </x:c>
      <x:c r="O145" s="284" t="str">
        <x:v>E12</x:v>
      </x:c>
      <x:c r="P145" s="284" t="str">
        <x:v>Não iniciada</x:v>
      </x:c>
      <x:c r="Q145" s="296" t="n">
        <x:f>IF(P145="Concluída",1,IF(P145="Em andamento",0.5,IF(P145="Bloqueada",0.25,0)))</x:f>
        <x:v>0</x:v>
      </x:c>
      <x:c r="R145" s="285" t="str">
        <x:v>https://keepachangelog.com/en/1.1.0/</x:v>
      </x:c>
    </x:row>
    <x:row r="146" ht="58" customHeight="1">
      <x:c r="A146" s="283" t="str">
        <x:v>RPG-M6-W23-06</x:v>
      </x:c>
      <x:c r="B146" s="284" t="str">
        <x:v>Mês 6</x:v>
      </x:c>
      <x:c r="C146" s="284" t="str">
        <x:v>Semana 23</x:v>
      </x:c>
      <x:c r="D146" s="290" t="n">
        <x:v>46418</x:v>
      </x:c>
      <x:c r="E146" s="284" t="str">
        <x:v>Publicação e portfólio</x:v>
      </x:c>
      <x:c r="F146" s="284" t="str">
        <x:v>Conteúdo</x:v>
      </x:c>
      <x:c r="G146" s="284" t="str">
        <x:v>YouTube</x:v>
      </x:c>
      <x:c r="H146" s="284" t="str">
        <x:v>Produzir Short 23 e capturar episódio final</x:v>
      </x:c>
      <x:c r="I146" s="284" t="str">
        <x:v>Grave bug real, teste de regressão, carga e checklist de release.</x:v>
      </x:c>
      <x:c r="J146" s="284" t="str">
        <x:v>Short publicado e demo final possui backup de gravação.</x:v>
      </x:c>
      <x:c r="K146" s="284" t="str">
        <x:v>youtube/ep-12/raw e Short 23</x:v>
      </x:c>
      <x:c r="L146" s="284" t="str">
        <x:v>Média</x:v>
      </x:c>
      <x:c r="M146" s="293" t="n">
        <x:v>3</x:v>
      </x:c>
      <x:c r="N146" s="284" t="str">
        <x:v>RPG-M6-W23-05</x:v>
      </x:c>
      <x:c r="O146" s="284" t="str">
        <x:v>E12</x:v>
      </x:c>
      <x:c r="P146" s="284" t="str">
        <x:v>Não iniciada</x:v>
      </x:c>
      <x:c r="Q146" s="296" t="n">
        <x:f>IF(P146="Concluída",1,IF(P146="Em andamento",0.5,IF(P146="Bloqueada",0.25,0)))</x:f>
        <x:v>0</x:v>
      </x:c>
      <x:c r="R146" s="285" t="str">
        <x:v>https://www.youtube.com/creators/</x:v>
      </x:c>
    </x:row>
    <x:row r="147" ht="58" customHeight="1">
      <x:c r="A147" s="283" t="str">
        <x:v>RPG-M6-W24-01</x:v>
      </x:c>
      <x:c r="B147" s="284" t="str">
        <x:v>Mês 6</x:v>
      </x:c>
      <x:c r="C147" s="284" t="str">
        <x:v>Semana 24</x:v>
      </x:c>
      <x:c r="D147" s="290" t="n">
        <x:v>46419</x:v>
      </x:c>
      <x:c r="E147" s="284" t="str">
        <x:v>Publicação e portfólio</x:v>
      </x:c>
      <x:c r="F147" s="284" t="str">
        <x:v>Entrega</x:v>
      </x:c>
      <x:c r="G147" s="284" t="str">
        <x:v>Release</x:v>
      </x:c>
      <x:c r="H147" s="284" t="str">
        <x:v>Publicar v1.0.0</x:v>
      </x:c>
      <x:c r="I147" s="284" t="str">
        <x:v>Crie tag, release notes, imagem, deploy e smoke final; congele o marco e abra v1.1.</x:v>
      </x:c>
      <x:c r="J147" s="284" t="str">
        <x:v>Release pública corresponde ao commit implantado e smoke passa.</x:v>
      </x:c>
      <x:c r="K147" s="284" t="str">
        <x:v>GitHub Release v1.0.0</x:v>
      </x:c>
      <x:c r="L147" s="284" t="str">
        <x:v>Crítica</x:v>
      </x:c>
      <x:c r="M147" s="293" t="n">
        <x:v>6</x:v>
      </x:c>
      <x:c r="N147" s="284" t="str">
        <x:v>RPG-M6-W23-06</x:v>
      </x:c>
      <x:c r="O147" s="284" t="str">
        <x:v>E12</x:v>
      </x:c>
      <x:c r="P147" s="284" t="str">
        <x:v>Não iniciada</x:v>
      </x:c>
      <x:c r="Q147" s="296" t="n">
        <x:f>IF(P147="Concluída",1,IF(P147="Em andamento",0.5,IF(P147="Bloqueada",0.25,0)))</x:f>
        <x:v>0</x:v>
      </x:c>
      <x:c r="R147" s="285" t="str">
        <x:v>https://semver.org/</x:v>
      </x:c>
    </x:row>
    <x:row r="148" ht="58" customHeight="1">
      <x:c r="A148" s="283" t="str">
        <x:v>RPG-M6-W24-02</x:v>
      </x:c>
      <x:c r="B148" s="284" t="str">
        <x:v>Mês 6</x:v>
      </x:c>
      <x:c r="C148" s="284" t="str">
        <x:v>Semana 24</x:v>
      </x:c>
      <x:c r="D148" s="290" t="n">
        <x:v>46420</x:v>
      </x:c>
      <x:c r="E148" s="284" t="str">
        <x:v>Publicação e portfólio</x:v>
      </x:c>
      <x:c r="F148" s="284" t="str">
        <x:v>Documentação</x:v>
      </x:c>
      <x:c r="G148" s="284" t="str">
        <x:v>Portfólio</x:v>
      </x:c>
      <x:c r="H148" s="284" t="str">
        <x:v>Escrever estudo de caso</x:v>
      </x:c>
      <x:c r="I148" s="284" t="str">
        <x:v>Explique problema, escopo, arquitetura, regras difíceis, decisões, testes, incidentes, resultados e próximos passos.</x:v>
      </x:c>
      <x:c r="J148" s="284" t="str">
        <x:v>Case possui evidências, links e decisões explicadas com suas palavras.</x:v>
      </x:c>
      <x:c r="K148" s="284" t="str">
        <x:v>docs/portfolio/case-study.md</x:v>
      </x:c>
      <x:c r="L148" s="284" t="str">
        <x:v>Crítica</x:v>
      </x:c>
      <x:c r="M148" s="293" t="n">
        <x:v>6</x:v>
      </x:c>
      <x:c r="N148" s="284" t="str">
        <x:v>RPG-M6-W24-01</x:v>
      </x:c>
      <x:c r="O148" s="284" t="str">
        <x:v>E12</x:v>
      </x:c>
      <x:c r="P148" s="284" t="str">
        <x:v>Não iniciada</x:v>
      </x:c>
      <x:c r="Q148" s="296" t="n">
        <x:f>IF(P148="Concluída",1,IF(P148="Em andamento",0.5,IF(P148="Bloqueada",0.25,0)))</x:f>
        <x:v>0</x:v>
      </x:c>
      <x:c r="R148" s="285" t="str">
        <x:v>https://adr.github.io/</x:v>
      </x:c>
    </x:row>
    <x:row r="149" ht="58" customHeight="1">
      <x:c r="A149" s="283" t="str">
        <x:v>RPG-M6-W24-03</x:v>
      </x:c>
      <x:c r="B149" s="284" t="str">
        <x:v>Mês 6</x:v>
      </x:c>
      <x:c r="C149" s="284" t="str">
        <x:v>Semana 24</x:v>
      </x:c>
      <x:c r="D149" s="290" t="n">
        <x:v>46421</x:v>
      </x:c>
      <x:c r="E149" s="284" t="str">
        <x:v>Publicação e portfólio</x:v>
      </x:c>
      <x:c r="F149" s="284" t="str">
        <x:v>Conteúdo</x:v>
      </x:c>
      <x:c r="G149" s="284" t="str">
        <x:v>Demo</x:v>
      </x:c>
      <x:c r="H149" s="284" t="str">
        <x:v>Gravar demonstração técnica</x:v>
      </x:c>
      <x:c r="I149" s="284" t="str">
        <x:v>Mostre setup, autenticação, personagem, combate, missão, testes, Docker e produção em 6-10 minutos.</x:v>
      </x:c>
      <x:c r="J149" s="284" t="str">
        <x:v>Demo prova funcionamento sem depender de cortes confusos.</x:v>
      </x:c>
      <x:c r="K149" s="284" t="str">
        <x:v>Vídeo demo no README</x:v>
      </x:c>
      <x:c r="L149" s="284" t="str">
        <x:v>Alta</x:v>
      </x:c>
      <x:c r="M149" s="293" t="n">
        <x:v>6</x:v>
      </x:c>
      <x:c r="N149" s="284" t="str">
        <x:v>RPG-M6-W24-02</x:v>
      </x:c>
      <x:c r="O149" s="284" t="str">
        <x:v>E12</x:v>
      </x:c>
      <x:c r="P149" s="284" t="str">
        <x:v>Não iniciada</x:v>
      </x:c>
      <x:c r="Q149" s="296" t="n">
        <x:f>IF(P149="Concluída",1,IF(P149="Em andamento",0.5,IF(P149="Bloqueada",0.25,0)))</x:f>
        <x:v>0</x:v>
      </x:c>
      <x:c r="R149" s="285" t="str">
        <x:v>https://www.youtube.com/creators/</x:v>
      </x:c>
    </x:row>
    <x:row r="150" ht="58" customHeight="1">
      <x:c r="A150" s="283" t="str">
        <x:v>RPG-M6-W24-04</x:v>
      </x:c>
      <x:c r="B150" s="284" t="str">
        <x:v>Mês 6</x:v>
      </x:c>
      <x:c r="C150" s="284" t="str">
        <x:v>Semana 24</x:v>
      </x:c>
      <x:c r="D150" s="290" t="n">
        <x:v>46422</x:v>
      </x:c>
      <x:c r="E150" s="284" t="str">
        <x:v>Publicação e portfólio</x:v>
      </x:c>
      <x:c r="F150" s="284" t="str">
        <x:v>Carreira</x:v>
      </x:c>
      <x:c r="G150" s="284" t="str">
        <x:v>Perfil</x:v>
      </x:c>
      <x:c r="H150" s="284" t="str">
        <x:v>Atualizar GitHub e currículo</x:v>
      </x:c>
      <x:c r="I150" s="284" t="str">
        <x:v>Fixe o repositório, adicione case/demo, escreva bullets de impacto e liste tecnologias realmente usadas.</x:v>
      </x:c>
      <x:c r="J150" s="284" t="str">
        <x:v>Recrutador encontra contexto, código, execução e resultados em poucos minutos.</x:v>
      </x:c>
      <x:c r="K150" s="284" t="str">
        <x:v>GitHub, currículo e LinkedIn</x:v>
      </x:c>
      <x:c r="L150" s="284" t="str">
        <x:v>Crítica</x:v>
      </x:c>
      <x:c r="M150" s="293" t="n">
        <x:v>5</x:v>
      </x:c>
      <x:c r="N150" s="284" t="str">
        <x:v>RPG-M6-W24-03</x:v>
      </x:c>
      <x:c r="O150" s="284" t="str">
        <x:v>E12</x:v>
      </x:c>
      <x:c r="P150" s="284" t="str">
        <x:v>Não iniciada</x:v>
      </x:c>
      <x:c r="Q150" s="296" t="n">
        <x:f>IF(P150="Concluída",1,IF(P150="Em andamento",0.5,IF(P150="Bloqueada",0.25,0)))</x:f>
        <x:v>0</x:v>
      </x:c>
      <x:c r="R150" s="285" t="str">
        <x:v>https://docs.github.com/</x:v>
      </x:c>
    </x:row>
    <x:row r="151" ht="58" customHeight="1">
      <x:c r="A151" s="283" t="str">
        <x:v>RPG-M6-W24-05</x:v>
      </x:c>
      <x:c r="B151" s="284" t="str">
        <x:v>Mês 6</x:v>
      </x:c>
      <x:c r="C151" s="284" t="str">
        <x:v>Semana 24</x:v>
      </x:c>
      <x:c r="D151" s="290" t="n">
        <x:v>46423</x:v>
      </x:c>
      <x:c r="E151" s="284" t="str">
        <x:v>Publicação e portfólio</x:v>
      </x:c>
      <x:c r="F151" s="284" t="str">
        <x:v>Carreira</x:v>
      </x:c>
      <x:c r="G151" s="284" t="str">
        <x:v>Mercado</x:v>
      </x:c>
      <x:c r="H151" s="284" t="str">
        <x:v>Iniciar candidaturas e feedback</x:v>
      </x:c>
      <x:c r="I151" s="284" t="str">
        <x:v>Candidate-se, registre vaga, resposta, gaps e ação; pratique explicar arquitetura, SQL, segurança e testes.</x:v>
      </x:c>
      <x:c r="J151" s="284" t="str">
        <x:v>Candidaturas começaram antes de qualquer sensação de perfeição e feedback vira issue/estudo.</x:v>
      </x:c>
      <x:c r="K151" s="284" t="str">
        <x:v>Tracker de candidaturas e interview-notes.md</x:v>
      </x:c>
      <x:c r="L151" s="284" t="str">
        <x:v>Crítica</x:v>
      </x:c>
      <x:c r="M151" s="293" t="n">
        <x:v>5</x:v>
      </x:c>
      <x:c r="N151" s="284" t="str">
        <x:v>RPG-M6-W24-04</x:v>
      </x:c>
      <x:c r="O151" s="284" t="str">
        <x:v>E12</x:v>
      </x:c>
      <x:c r="P151" s="284" t="str">
        <x:v>Não iniciada</x:v>
      </x:c>
      <x:c r="Q151" s="296" t="n">
        <x:f>IF(P151="Concluída",1,IF(P151="Em andamento",0.5,IF(P151="Bloqueada",0.25,0)))</x:f>
        <x:v>0</x:v>
      </x:c>
      <x:c r="R151" s="285" t="str">
        <x:v>https://docs.github.com/</x:v>
      </x:c>
    </x:row>
    <x:row r="152" ht="58" customHeight="1">
      <x:c r="A152" s="286" t="str">
        <x:v>RPG-M6-W24-06</x:v>
      </x:c>
      <x:c r="B152" s="287" t="str">
        <x:v>Mês 6</x:v>
      </x:c>
      <x:c r="C152" s="287" t="str">
        <x:v>Semana 24</x:v>
      </x:c>
      <x:c r="D152" s="291" t="n">
        <x:v>46425</x:v>
      </x:c>
      <x:c r="E152" s="287" t="str">
        <x:v>Publicação e portfólio</x:v>
      </x:c>
      <x:c r="F152" s="287" t="str">
        <x:v>Conteúdo</x:v>
      </x:c>
      <x:c r="G152" s="287" t="str">
        <x:v>YouTube</x:v>
      </x:c>
      <x:c r="H152" s="287" t="str">
        <x:v>Publicar episódio 12 e encerrar a temporada</x:v>
      </x:c>
      <x:c r="I152" s="287" t="str">
        <x:v>Conte a história completa, resultados, decisões, erros, métricas, lições e roadmap v1.1.</x:v>
      </x:c>
      <x:c r="J152" s="287" t="str">
        <x:v>Final publicado com playlist completa, CTA para repositório e retrospectiva após 7 dias.</x:v>
      </x:c>
      <x:c r="K152" s="287" t="str">
        <x:v>Episódio 12 e playlist final</x:v>
      </x:c>
      <x:c r="L152" s="287" t="str">
        <x:v>Crítica</x:v>
      </x:c>
      <x:c r="M152" s="294" t="n">
        <x:v>5</x:v>
      </x:c>
      <x:c r="N152" s="287" t="str">
        <x:v>RPG-M6-W24-05</x:v>
      </x:c>
      <x:c r="O152" s="287" t="str">
        <x:v>E12</x:v>
      </x:c>
      <x:c r="P152" s="287" t="str">
        <x:v>Não iniciada</x:v>
      </x:c>
      <x:c r="Q152" s="297" t="n">
        <x:f>IF(P152="Concluída",1,IF(P152="Em andamento",0.5,IF(P152="Bloqueada",0.25,0)))</x:f>
        <x:v>0</x:v>
      </x:c>
      <x:c r="R152" s="288" t="str">
        <x:v>https://www.youtube.com/creators/</x:v>
      </x:c>
    </x:row>
  </x:sheetData>
  <x:mergeCells>
    <x:mergeCell ref="A1:R2"/>
    <x:mergeCell ref="A3:C3"/>
    <x:mergeCell ref="A4:C5"/>
    <x:mergeCell ref="D3:F3"/>
    <x:mergeCell ref="D4:F5"/>
    <x:mergeCell ref="G3:I3"/>
    <x:mergeCell ref="G4:I5"/>
    <x:mergeCell ref="J3:L3"/>
    <x:mergeCell ref="J4:L5"/>
    <x:mergeCell ref="M3:O3"/>
    <x:mergeCell ref="M4:O5"/>
    <x:mergeCell ref="P3:R3"/>
    <x:mergeCell ref="P4:R5"/>
    <x:mergeCell ref="A6:R6"/>
    <x:mergeCell ref="A7:R7"/>
  </x:mergeCells>
  <x:conditionalFormatting sqref="A9:R152">
    <x:cfRule type="expression" dxfId="0" priority="1">
      <x:formula>MOD(ROW(),2)=1</x:formula>
    </x:cfRule>
  </x:conditionalFormatting>
  <x:conditionalFormatting sqref="P9:P152">
    <x:cfRule type="containsText" dxfId="1" priority="2" operator="containsText" text="Concluída"/>
    <x:cfRule type="containsText" dxfId="2" priority="3" operator="containsText" text="Em andamento"/>
    <x:cfRule type="containsText" dxfId="3" priority="4" operator="containsText" text="Bloqueada"/>
    <x:cfRule type="containsText" dxfId="4" priority="5" operator="containsText" text="Não iniciada"/>
  </x:conditionalFormatting>
  <x:conditionalFormatting sqref="Q9:Q152">
    <x:cfRule type="dataBar" priority="6">
      <x:dataBar>
        <x:cfvo type="min"/>
        <x:cfvo type="max"/>
        <x:color rgb="FF8B5CF6"/>
      </x:dataBar>
      <x:extLst>
        <x:ext xmlns:x14="http://schemas.microsoft.com/office/spreadsheetml/2009/9/main" uri="{B025F937-C7B1-47D3-B67F-A62EFF666E3E}">
          <x14:id>{D7A86F15-7275-2C99-503C-2D07266B8A01}</x14:id>
        </x:ext>
      </x:extLst>
    </x:cfRule>
  </x:conditionalFormatting>
  <x:conditionalFormatting sqref="L9:L152">
    <x:cfRule type="containsText" dxfId="5" priority="7" operator="containsText" text="Crítica"/>
  </x:conditionalFormatting>
  <x:conditionalFormatting sqref="F9:F152">
    <x:cfRule type="containsText" dxfId="6" priority="8" operator="containsText" text="Conteúdo"/>
  </x:conditionalFormatting>
  <x:dataValidations count="2">
    <x:dataValidation type="list" sqref="P9:P152">
      <x:formula1>"Não iniciada,Em andamento,Concluída,Bloqueada"</x:formula1>
    </x:dataValidation>
    <x:dataValidation type="list" sqref="L9:L152">
      <x:formula1>"Crítica,Alta,Média,Baixa"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47884320f74a5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D7A86F15-7275-2C99-503C-2D07266B8A01}">
            <x14:dataBar gradient="1">
              <x14:cfvo type="min"/>
              <x14:cfvo type="max"/>
              <x14:fillColor rgb="FF8B5CF6"/>
            </x14:dataBar>
          </x14:cfRule>
          <xm:sqref>Q9:Q152</xm:sqref>
        </x14:conditionalFormatting>
      </x14:conditionalFormattings>
    </x:ext>
  </x:extLst>
</x:worksheet>
</file>